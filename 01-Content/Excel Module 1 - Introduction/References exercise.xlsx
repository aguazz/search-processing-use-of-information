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cunefedu-my.sharepoint.com/personal/abel_guada_cunef_edu/Documents/Teaching/2025-26/2025-26 - 1er-C - BUTI - 1ro ADE-D/Excel Module 1 - Introduction/"/>
    </mc:Choice>
  </mc:AlternateContent>
  <xr:revisionPtr revIDLastSave="215" documentId="8_{21A3022B-F2CD-4BF6-82CE-992CDB80D2F9}" xr6:coauthVersionLast="47" xr6:coauthVersionMax="47" xr10:uidLastSave="{F205ED0E-5D7A-400E-BF40-4A8BE5B621F1}"/>
  <bookViews>
    <workbookView xWindow="-98" yWindow="-98" windowWidth="21795" windowHeight="12975" activeTab="2" xr2:uid="{590F528A-DDCC-4109-A899-38638DC6A029}"/>
  </bookViews>
  <sheets>
    <sheet name="Absolute and relative reference" sheetId="2" r:id="rId1"/>
    <sheet name="Mixed references" sheetId="1" r:id="rId2"/>
    <sheet name="References 2D" sheetId="10" r:id="rId3"/>
    <sheet name="References 3D 1 " sheetId="9" r:id="rId4"/>
    <sheet name="References 3D 2" sheetId="8" r:id="rId5"/>
    <sheet name="Names" sheetId="4" r:id="rId6"/>
    <sheet name="Mixed references 2" sheetId="5" r:id="rId7"/>
    <sheet name="Tables references" sheetId="6" r:id="rId8"/>
  </sheets>
  <externalReferences>
    <externalReference r:id="rId9"/>
  </externalReferences>
  <definedNames>
    <definedName name="colon">Names!$O$2</definedName>
    <definedName name="column">'Mixed references 2'!$B$3:$B$12</definedName>
    <definedName name="cost">Names!$C$2:$C$20</definedName>
    <definedName name="cost_box">Names!$H$2:$H$20</definedName>
    <definedName name="coste" localSheetId="5">Names!#REF!</definedName>
    <definedName name="coste" localSheetId="2">'References 2D'!#REF!</definedName>
    <definedName name="coste" localSheetId="7">'Tables references'!#REF!</definedName>
    <definedName name="coste">'Absolute and relative reference'!#REF!</definedName>
    <definedName name="precio" localSheetId="5">Names!#REF!</definedName>
    <definedName name="precio" localSheetId="2">'References 2D'!#REF!</definedName>
    <definedName name="precio" localSheetId="7">'Tables references'!#REF!</definedName>
    <definedName name="precio">'Absolute and relative reference'!#REF!</definedName>
    <definedName name="price">Names!$D$2:$D$20</definedName>
    <definedName name="price_box">Names!$I$2:$I$20</definedName>
    <definedName name="profit_box">Names!$J$2:$J$20</definedName>
    <definedName name="quantity">Names!$F$2:$F$20</definedName>
    <definedName name="row">'Mixed references 2'!$C$2:$L$2</definedName>
    <definedName name="rupee">Names!$O$3</definedName>
    <definedName name="weight">Names!$B$2:$B$20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5" l="1" a="1"/>
  <c r="C3" i="5" s="1"/>
  <c r="K17" i="4"/>
  <c r="K18" i="4"/>
  <c r="K19" i="4"/>
  <c r="K20" i="4"/>
  <c r="K16" i="4"/>
  <c r="K3" i="4"/>
  <c r="K4" i="4"/>
  <c r="K5" i="4"/>
  <c r="K6" i="4"/>
  <c r="K7" i="4"/>
  <c r="K8" i="4"/>
  <c r="K9" i="4"/>
  <c r="K10" i="4"/>
  <c r="K11" i="4"/>
  <c r="K12" i="4"/>
  <c r="K13" i="4"/>
  <c r="K14" i="4"/>
  <c r="K15" i="4"/>
  <c r="K2" i="4"/>
  <c r="J2" i="4" a="1"/>
  <c r="J2" i="4" s="1"/>
  <c r="I2" i="4" a="1"/>
  <c r="I2" i="4" s="1"/>
  <c r="H2" i="4" a="1"/>
  <c r="H2" i="4" s="1"/>
  <c r="H3" i="8"/>
  <c r="H4" i="8"/>
  <c r="H5" i="8"/>
  <c r="H6" i="8"/>
  <c r="H7" i="8"/>
  <c r="H8" i="8"/>
  <c r="H9" i="8"/>
  <c r="H10" i="8"/>
  <c r="H11" i="8"/>
  <c r="H12" i="8"/>
  <c r="H13" i="8"/>
  <c r="H14" i="8"/>
  <c r="H15" i="8"/>
  <c r="H16" i="8"/>
  <c r="H17" i="8"/>
  <c r="H18" i="8"/>
  <c r="H19" i="8"/>
  <c r="H20" i="8"/>
  <c r="H2" i="8"/>
  <c r="H3" i="10"/>
  <c r="H4" i="10"/>
  <c r="H5" i="10"/>
  <c r="H6" i="10"/>
  <c r="H7" i="10"/>
  <c r="H8" i="10"/>
  <c r="H9" i="10"/>
  <c r="H10" i="10"/>
  <c r="H11" i="10"/>
  <c r="H12" i="10"/>
  <c r="H13" i="10"/>
  <c r="H14" i="10"/>
  <c r="H15" i="10"/>
  <c r="H16" i="10"/>
  <c r="H17" i="10"/>
  <c r="H18" i="10"/>
  <c r="H19" i="10"/>
  <c r="H20" i="10"/>
  <c r="H2" i="10"/>
  <c r="C4" i="1"/>
  <c r="D4" i="1"/>
  <c r="E4" i="1"/>
  <c r="F4" i="1"/>
  <c r="G4" i="1"/>
  <c r="H4" i="1"/>
  <c r="I4" i="1"/>
  <c r="J4" i="1"/>
  <c r="K4" i="1"/>
  <c r="L4" i="1"/>
  <c r="C5" i="1"/>
  <c r="D5" i="1"/>
  <c r="E5" i="1"/>
  <c r="F5" i="1"/>
  <c r="G5" i="1"/>
  <c r="H5" i="1"/>
  <c r="I5" i="1"/>
  <c r="J5" i="1"/>
  <c r="K5" i="1"/>
  <c r="L5" i="1"/>
  <c r="C6" i="1"/>
  <c r="D6" i="1"/>
  <c r="E6" i="1"/>
  <c r="F6" i="1"/>
  <c r="G6" i="1"/>
  <c r="H6" i="1"/>
  <c r="I6" i="1"/>
  <c r="J6" i="1"/>
  <c r="K6" i="1"/>
  <c r="L6" i="1"/>
  <c r="C7" i="1"/>
  <c r="D7" i="1"/>
  <c r="E7" i="1"/>
  <c r="F7" i="1"/>
  <c r="G7" i="1"/>
  <c r="H7" i="1"/>
  <c r="I7" i="1"/>
  <c r="J7" i="1"/>
  <c r="K7" i="1"/>
  <c r="L7" i="1"/>
  <c r="C8" i="1"/>
  <c r="D8" i="1"/>
  <c r="E8" i="1"/>
  <c r="F8" i="1"/>
  <c r="G8" i="1"/>
  <c r="H8" i="1"/>
  <c r="I8" i="1"/>
  <c r="J8" i="1"/>
  <c r="K8" i="1"/>
  <c r="L8" i="1"/>
  <c r="C9" i="1"/>
  <c r="D9" i="1"/>
  <c r="E9" i="1"/>
  <c r="F9" i="1"/>
  <c r="G9" i="1"/>
  <c r="H9" i="1"/>
  <c r="I9" i="1"/>
  <c r="J9" i="1"/>
  <c r="K9" i="1"/>
  <c r="L9" i="1"/>
  <c r="C10" i="1"/>
  <c r="D10" i="1"/>
  <c r="E10" i="1"/>
  <c r="F10" i="1"/>
  <c r="G10" i="1"/>
  <c r="H10" i="1"/>
  <c r="I10" i="1"/>
  <c r="J10" i="1"/>
  <c r="K10" i="1"/>
  <c r="L10" i="1"/>
  <c r="C11" i="1"/>
  <c r="D11" i="1"/>
  <c r="E11" i="1"/>
  <c r="F11" i="1"/>
  <c r="G11" i="1"/>
  <c r="H11" i="1"/>
  <c r="I11" i="1"/>
  <c r="J11" i="1"/>
  <c r="K11" i="1"/>
  <c r="L11" i="1"/>
  <c r="C12" i="1"/>
  <c r="D12" i="1"/>
  <c r="E12" i="1"/>
  <c r="F12" i="1"/>
  <c r="G12" i="1"/>
  <c r="H12" i="1"/>
  <c r="I12" i="1"/>
  <c r="J12" i="1"/>
  <c r="K12" i="1"/>
  <c r="L12" i="1"/>
  <c r="D3" i="1"/>
  <c r="E3" i="1"/>
  <c r="F3" i="1"/>
  <c r="G3" i="1"/>
  <c r="H3" i="1"/>
  <c r="I3" i="1"/>
  <c r="J3" i="1"/>
  <c r="K3" i="1"/>
  <c r="L3" i="1"/>
  <c r="C3" i="1"/>
  <c r="K17" i="2"/>
  <c r="K18" i="2"/>
  <c r="K19" i="2"/>
  <c r="K20" i="2"/>
  <c r="J17" i="2"/>
  <c r="J18" i="2"/>
  <c r="I3" i="2"/>
  <c r="J3" i="2" s="1"/>
  <c r="K3" i="2" s="1"/>
  <c r="I4" i="2"/>
  <c r="J4" i="2" s="1"/>
  <c r="K4" i="2" s="1"/>
  <c r="I5" i="2"/>
  <c r="J5" i="2" s="1"/>
  <c r="K5" i="2" s="1"/>
  <c r="I6" i="2"/>
  <c r="J6" i="2" s="1"/>
  <c r="K6" i="2" s="1"/>
  <c r="I7" i="2"/>
  <c r="J7" i="2" s="1"/>
  <c r="K7" i="2" s="1"/>
  <c r="I8" i="2"/>
  <c r="J8" i="2" s="1"/>
  <c r="K8" i="2" s="1"/>
  <c r="I9" i="2"/>
  <c r="I10" i="2"/>
  <c r="J10" i="2" s="1"/>
  <c r="K10" i="2" s="1"/>
  <c r="I11" i="2"/>
  <c r="J11" i="2" s="1"/>
  <c r="K11" i="2" s="1"/>
  <c r="I12" i="2"/>
  <c r="J12" i="2" s="1"/>
  <c r="K12" i="2" s="1"/>
  <c r="I13" i="2"/>
  <c r="I14" i="2"/>
  <c r="J14" i="2" s="1"/>
  <c r="K14" i="2" s="1"/>
  <c r="I15" i="2"/>
  <c r="J15" i="2" s="1"/>
  <c r="K15" i="2" s="1"/>
  <c r="I16" i="2"/>
  <c r="J16" i="2" s="1"/>
  <c r="I17" i="2"/>
  <c r="I18" i="2"/>
  <c r="I19" i="2"/>
  <c r="J19" i="2" s="1"/>
  <c r="I20" i="2"/>
  <c r="J20" i="2" s="1"/>
  <c r="I2" i="2"/>
  <c r="J2" i="2" s="1"/>
  <c r="K2" i="2" s="1"/>
  <c r="H3" i="2"/>
  <c r="H4" i="2"/>
  <c r="H5" i="2"/>
  <c r="H6" i="2"/>
  <c r="H7" i="2"/>
  <c r="H8" i="2"/>
  <c r="H9" i="2"/>
  <c r="J9" i="2" s="1"/>
  <c r="K9" i="2" s="1"/>
  <c r="H10" i="2"/>
  <c r="H11" i="2"/>
  <c r="H12" i="2"/>
  <c r="H13" i="2"/>
  <c r="J13" i="2" s="1"/>
  <c r="K13" i="2" s="1"/>
  <c r="H14" i="2"/>
  <c r="H15" i="2"/>
  <c r="H16" i="2"/>
  <c r="K16" i="2" s="1"/>
  <c r="H17" i="2"/>
  <c r="H18" i="2"/>
  <c r="H19" i="2"/>
  <c r="H20" i="2"/>
  <c r="H2" i="2"/>
  <c r="N3" i="6"/>
  <c r="N2" i="6"/>
  <c r="O2" i="4"/>
  <c r="O3" i="4"/>
  <c r="O3" i="2"/>
  <c r="O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<sst xmlns="http://schemas.openxmlformats.org/spreadsheetml/2006/main" count="359" uniqueCount="37">
  <si>
    <t>Alcampo</t>
  </si>
  <si>
    <t>Costa Rica</t>
  </si>
  <si>
    <t>Mercadona</t>
  </si>
  <si>
    <t>Dia</t>
  </si>
  <si>
    <t>Lidl</t>
  </si>
  <si>
    <t>Mango</t>
  </si>
  <si>
    <t>India</t>
  </si>
  <si>
    <t>Colón</t>
  </si>
  <si>
    <t>Box weight Kg</t>
  </si>
  <si>
    <t>Cost per Kg</t>
  </si>
  <si>
    <t>Price per Kg</t>
  </si>
  <si>
    <t>Buyer</t>
  </si>
  <si>
    <t>Quantity</t>
  </si>
  <si>
    <t>Fruit origin</t>
  </si>
  <si>
    <t>Apple</t>
  </si>
  <si>
    <t>Orange</t>
  </si>
  <si>
    <t>Country</t>
  </si>
  <si>
    <t>Currency</t>
  </si>
  <si>
    <t>Rupee</t>
  </si>
  <si>
    <t>Equivalence 1 euro</t>
  </si>
  <si>
    <t>Fruit</t>
  </si>
  <si>
    <t>ROWS</t>
  </si>
  <si>
    <t>COLUMNS</t>
  </si>
  <si>
    <t xml:space="preserve">
The cells must be filled with the result of multiplying each number of the ROWS with the numbers of the columns. For instance, cell H9 must be the result of the multiplication of 6 (ROW) with 7 (Column), that is, 42.</t>
  </si>
  <si>
    <t>You need to introduce A SINGLE FORMULA in cell C3 and, next, drag this cell towards the right and down in order to fill in the rest of the table (or towards down and right). You need to use mixed references in order to manage to do this.</t>
  </si>
  <si>
    <t>Euro to dollar exchange rate</t>
  </si>
  <si>
    <t>Cost in dollars</t>
  </si>
  <si>
    <t>CLUMNS</t>
  </si>
  <si>
    <t>Cost per box</t>
  </si>
  <si>
    <t>Price per box</t>
  </si>
  <si>
    <t>Profit per box</t>
  </si>
  <si>
    <t>Local profit</t>
  </si>
  <si>
    <t>Profit in dolars</t>
  </si>
  <si>
    <t>cost per box</t>
  </si>
  <si>
    <t>price per box</t>
  </si>
  <si>
    <t>profit per box</t>
  </si>
  <si>
    <t>local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</si>
</sst>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7" x14ac:knownFonts="1">
    <font>
      <sz val="11"/>
      <color theme="1"/>
      <name val="Calibri"/>
      <family val="2"/>
      <scheme val="minor"/>
    </font>
    <font>
      <sz val="14"/>
      <color theme="1"/>
      <name val="Calibri"/>
      <family val="2"/>
      <scheme val="minor"/>
    </font>
    <font>
      <sz val="16"/>
      <color theme="0"/>
      <name val="Calibri"/>
      <family val="2"/>
      <scheme val="minor"/>
    </font>
    <font>
      <sz val="16"/>
      <color theme="1"/>
      <name val="Calibri"/>
      <family val="2"/>
      <scheme val="minor"/>
    </font>
    <font>
      <sz val="18"/>
      <color theme="1"/>
      <name val="Calibri"/>
      <family val="2"/>
      <scheme val="minor"/>
    </font>
    <font>
      <sz val="11"/>
      <color theme="1"/>
      <name val="Calibri"/>
      <family val="2"/>
      <scheme val="minor"/>
    </font>
    <font>
      <sz val="20"/>
      <color theme="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39997558519241921"/>
        <bgColor indexed="64"/>
      </patternFill>
    </fill>
  </fills>
  <borders count="3">
    <border>
      <left/>
      <right/>
      <top/>
      <bottom/>
      <diagonal/>
    </border>
    <border>
      <left style="thin">
        <color theme="0"/>
      </left>
      <right style="thin">
        <color theme="0"/>
      </right>
      <top style="thin">
        <color theme="0"/>
      </top>
      <bottom style="thin">
        <color theme="0"/>
      </bottom>
      <diagonal/>
    </border>
    <border>
      <left/>
      <right style="thin">
        <color auto="1"/>
      </right>
      <top/>
      <bottom style="thin">
        <color auto="1"/>
      </bottom>
      <diagonal/>
    </border>
  </borders>
  <cellStyleXfs count="2">
    <xf numFmtId="0" fontId="0" fillId="0" borderId="0"/>
    <xf numFmtId="164" fontId="5" fillId="0" borderId="0" applyFont="0" applyFill="0" applyBorder="0" applyAlignment="0" applyProtection="0"/>
  </cellStyleXfs>
  <cellXfs count="18">
    <xf numFmtId="0" fontId="0" fillId="0" borderId="0" xfId="0"/>
    <xf numFmtId="0" fontId="0" fillId="3" borderId="0" xfId="0" applyFill="1"/>
    <xf numFmtId="0" fontId="0" fillId="3" borderId="0" xfId="0" applyFill="1" applyAlignment="1">
      <alignment vertical="center"/>
    </xf>
    <xf numFmtId="0" fontId="0" fillId="0" borderId="0" xfId="0" applyAlignment="1">
      <alignment vertical="center"/>
    </xf>
    <xf numFmtId="0" fontId="1" fillId="3"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4" fillId="3" borderId="0" xfId="0" applyFont="1" applyFill="1" applyAlignment="1">
      <alignment horizontal="center" vertical="center"/>
    </xf>
    <xf numFmtId="0" fontId="3" fillId="5" borderId="2" xfId="0" applyFont="1" applyFill="1" applyBorder="1"/>
    <xf numFmtId="0" fontId="0" fillId="6" borderId="0" xfId="0" applyFill="1"/>
    <xf numFmtId="164" fontId="0" fillId="0" borderId="0" xfId="1" applyFont="1"/>
    <xf numFmtId="164" fontId="0" fillId="0" borderId="0" xfId="0" applyNumberFormat="1"/>
    <xf numFmtId="2" fontId="0" fillId="0" borderId="0" xfId="0" applyNumberFormat="1"/>
    <xf numFmtId="0" fontId="6" fillId="7" borderId="0" xfId="0" applyFont="1" applyFill="1" applyAlignment="1">
      <alignment horizontal="right"/>
    </xf>
    <xf numFmtId="2" fontId="6" fillId="7" borderId="0" xfId="0" applyNumberFormat="1" applyFont="1" applyFill="1" applyAlignment="1">
      <alignment horizontal="right"/>
    </xf>
    <xf numFmtId="43" fontId="0" fillId="0" borderId="0" xfId="0" applyNumberFormat="1"/>
    <xf numFmtId="0" fontId="3" fillId="4" borderId="0" xfId="0" applyFont="1" applyFill="1" applyAlignment="1">
      <alignment horizontal="center" wrapText="1"/>
    </xf>
    <xf numFmtId="0" fontId="3" fillId="4" borderId="0" xfId="0" applyFont="1" applyFill="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11</xdr:col>
      <xdr:colOff>295275</xdr:colOff>
      <xdr:row>4</xdr:row>
      <xdr:rowOff>76200</xdr:rowOff>
    </xdr:from>
    <xdr:ext cx="6019800" cy="1419225"/>
    <xdr:sp macro="" textlink="">
      <xdr:nvSpPr>
        <xdr:cNvPr id="2" name="CuadroTexto 1">
          <a:extLst>
            <a:ext uri="{FF2B5EF4-FFF2-40B4-BE49-F238E27FC236}">
              <a16:creationId xmlns:a16="http://schemas.microsoft.com/office/drawing/2014/main" id="{D4AB0F3D-99BE-4923-8837-A110EF4CE232}"/>
            </a:ext>
          </a:extLst>
        </xdr:cNvPr>
        <xdr:cNvSpPr txBox="1"/>
      </xdr:nvSpPr>
      <xdr:spPr>
        <a:xfrm>
          <a:off x="8420100" y="866775"/>
          <a:ext cx="6019800" cy="1419225"/>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Relative references are used by default by excel</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1. Create a column with the total cost per box</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2. Create a column with the total price per box</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3. Create a column with the total profit per box</a:t>
          </a:r>
        </a:p>
        <a:p>
          <a:pPr marL="0" marR="0" lvl="0" indent="0" defTabSz="914400" eaLnBrk="1" fontAlgn="auto" latinLnBrk="0" hangingPunct="1">
            <a:lnSpc>
              <a:spcPct val="100000"/>
            </a:lnSpc>
            <a:spcBef>
              <a:spcPts val="0"/>
            </a:spcBef>
            <a:spcAft>
              <a:spcPts val="0"/>
            </a:spcAft>
            <a:buClrTx/>
            <a:buSzTx/>
            <a:buFontTx/>
            <a:buNone/>
            <a:tabLst/>
            <a:defRPr/>
          </a:pPr>
          <a:endParaRPr lang="en-US" sz="1800">
            <a:effectLst/>
          </a:endParaRPr>
        </a:p>
        <a:p>
          <a:br>
            <a:rPr lang="en-US" sz="1800"/>
          </a:br>
          <a:endParaRPr lang="en-US" sz="1800"/>
        </a:p>
      </xdr:txBody>
    </xdr:sp>
    <xdr:clientData/>
  </xdr:oneCellAnchor>
  <xdr:oneCellAnchor>
    <xdr:from>
      <xdr:col>11</xdr:col>
      <xdr:colOff>457200</xdr:colOff>
      <xdr:row>12</xdr:row>
      <xdr:rowOff>152400</xdr:rowOff>
    </xdr:from>
    <xdr:ext cx="5581650" cy="1266825"/>
    <xdr:sp macro="" textlink="">
      <xdr:nvSpPr>
        <xdr:cNvPr id="3" name="CuadroTexto 2">
          <a:extLst>
            <a:ext uri="{FF2B5EF4-FFF2-40B4-BE49-F238E27FC236}">
              <a16:creationId xmlns:a16="http://schemas.microsoft.com/office/drawing/2014/main" id="{EE9C66E0-A44D-4686-8FB3-20CD8C30B236}"/>
            </a:ext>
          </a:extLst>
        </xdr:cNvPr>
        <xdr:cNvSpPr txBox="1"/>
      </xdr:nvSpPr>
      <xdr:spPr>
        <a:xfrm>
          <a:off x="8582025" y="2466975"/>
          <a:ext cx="5581650" cy="1266825"/>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chemeClr val="tx1"/>
              </a:solidFill>
              <a:latin typeface="+mn-lt"/>
              <a:ea typeface="+mn-ea"/>
              <a:cs typeface="+mn-cs"/>
            </a:rPr>
            <a:t>The symbol $ before</a:t>
          </a:r>
          <a:r>
            <a:rPr lang="en-US" sz="1800" baseline="0">
              <a:solidFill>
                <a:schemeClr val="tx1"/>
              </a:solidFill>
              <a:latin typeface="+mn-lt"/>
              <a:ea typeface="+mn-ea"/>
              <a:cs typeface="+mn-cs"/>
            </a:rPr>
            <a:t> a row and column, fixes the cell as an absolute reference</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aseline="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4. Create a column with the profit in local currency</a:t>
          </a:r>
          <a:endParaRPr lang="en-US" sz="180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80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800">
            <a:solidFill>
              <a:schemeClr val="tx1"/>
            </a:solidFill>
            <a:latin typeface="+mn-lt"/>
            <a:ea typeface="+mn-ea"/>
            <a:cs typeface="+mn-cs"/>
          </a:endParaRPr>
        </a:p>
        <a:p>
          <a:pPr marL="0" indent="0"/>
          <a:endParaRPr lang="en-US" sz="1800">
            <a:solidFill>
              <a:schemeClr val="tx1"/>
            </a:solidFill>
            <a:latin typeface="+mn-lt"/>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9524</xdr:colOff>
      <xdr:row>0</xdr:row>
      <xdr:rowOff>9525</xdr:rowOff>
    </xdr:from>
    <xdr:to>
      <xdr:col>11</xdr:col>
      <xdr:colOff>723899</xdr:colOff>
      <xdr:row>0</xdr:row>
      <xdr:rowOff>390525</xdr:rowOff>
    </xdr:to>
    <xdr:sp macro="" textlink="">
      <xdr:nvSpPr>
        <xdr:cNvPr id="2" name="Arrow: Right 1">
          <a:extLst>
            <a:ext uri="{FF2B5EF4-FFF2-40B4-BE49-F238E27FC236}">
              <a16:creationId xmlns:a16="http://schemas.microsoft.com/office/drawing/2014/main" id="{5914FE09-0F2D-4C12-8B63-D3432C5A83F2}"/>
            </a:ext>
          </a:extLst>
        </xdr:cNvPr>
        <xdr:cNvSpPr/>
      </xdr:nvSpPr>
      <xdr:spPr>
        <a:xfrm>
          <a:off x="2505074" y="9525"/>
          <a:ext cx="8410575" cy="38100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2</xdr:row>
      <xdr:rowOff>85725</xdr:rowOff>
    </xdr:from>
    <xdr:to>
      <xdr:col>0</xdr:col>
      <xdr:colOff>695325</xdr:colOff>
      <xdr:row>11</xdr:row>
      <xdr:rowOff>257175</xdr:rowOff>
    </xdr:to>
    <xdr:sp macro="" textlink="">
      <xdr:nvSpPr>
        <xdr:cNvPr id="3" name="Arrow: Down 2">
          <a:extLst>
            <a:ext uri="{FF2B5EF4-FFF2-40B4-BE49-F238E27FC236}">
              <a16:creationId xmlns:a16="http://schemas.microsoft.com/office/drawing/2014/main" id="{9D28B00E-E22F-4C70-840B-30D7C5779012}"/>
            </a:ext>
          </a:extLst>
        </xdr:cNvPr>
        <xdr:cNvSpPr/>
      </xdr:nvSpPr>
      <xdr:spPr>
        <a:xfrm>
          <a:off x="180975" y="885825"/>
          <a:ext cx="514350" cy="5314950"/>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209550</xdr:colOff>
      <xdr:row>3</xdr:row>
      <xdr:rowOff>552450</xdr:rowOff>
    </xdr:from>
    <xdr:ext cx="5927456" cy="342786"/>
    <xdr:sp macro="" textlink="">
      <xdr:nvSpPr>
        <xdr:cNvPr id="4" name="CuadroTexto 3">
          <a:extLst>
            <a:ext uri="{FF2B5EF4-FFF2-40B4-BE49-F238E27FC236}">
              <a16:creationId xmlns:a16="http://schemas.microsoft.com/office/drawing/2014/main" id="{95B50EC2-3859-4097-B5A4-04BABE307094}"/>
            </a:ext>
          </a:extLst>
        </xdr:cNvPr>
        <xdr:cNvSpPr txBox="1"/>
      </xdr:nvSpPr>
      <xdr:spPr>
        <a:xfrm>
          <a:off x="11858914" y="1926359"/>
          <a:ext cx="592745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aseline="0"/>
            <a:t>The symbol $ before a row or a column sets fixed said row or column</a:t>
          </a:r>
          <a:endParaRPr lang="en-US" sz="16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10</xdr:col>
      <xdr:colOff>1162050</xdr:colOff>
      <xdr:row>1</xdr:row>
      <xdr:rowOff>95251</xdr:rowOff>
    </xdr:from>
    <xdr:ext cx="4210050" cy="2800349"/>
    <xdr:sp macro="" textlink="">
      <xdr:nvSpPr>
        <xdr:cNvPr id="3" name="CuadroTexto 2">
          <a:extLst>
            <a:ext uri="{FF2B5EF4-FFF2-40B4-BE49-F238E27FC236}">
              <a16:creationId xmlns:a16="http://schemas.microsoft.com/office/drawing/2014/main" id="{F2C50D1F-C197-4DAA-8ABC-8548A0BB6005}"/>
            </a:ext>
          </a:extLst>
        </xdr:cNvPr>
        <xdr:cNvSpPr txBox="1"/>
      </xdr:nvSpPr>
      <xdr:spPr>
        <a:xfrm>
          <a:off x="8181975" y="314326"/>
          <a:ext cx="4210050" cy="280034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You can make references to cells or names in other worksheets in this same workbook.</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aseline="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1. Create a new column with the profit in local currency (price - cost per Kg)*Kilos*quantity*euro-dollar exchange rate. The euro-dollar exchange rate is in worksheet "Mixed references"</a:t>
          </a:r>
          <a:endParaRPr lang="en-US" sz="1800">
            <a:solidFill>
              <a:schemeClr val="tx1"/>
            </a:solidFill>
            <a:latin typeface="+mn-lt"/>
            <a:ea typeface="+mn-ea"/>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533400</xdr:colOff>
      <xdr:row>0</xdr:row>
      <xdr:rowOff>0</xdr:rowOff>
    </xdr:from>
    <xdr:ext cx="4191000" cy="1501373"/>
    <xdr:sp macro="" textlink="">
      <xdr:nvSpPr>
        <xdr:cNvPr id="2" name="CuadroTexto 1">
          <a:extLst>
            <a:ext uri="{FF2B5EF4-FFF2-40B4-BE49-F238E27FC236}">
              <a16:creationId xmlns:a16="http://schemas.microsoft.com/office/drawing/2014/main" id="{60899F8D-9DCC-4E4F-9022-D9BD23050ABB}"/>
            </a:ext>
          </a:extLst>
        </xdr:cNvPr>
        <xdr:cNvSpPr txBox="1"/>
      </xdr:nvSpPr>
      <xdr:spPr>
        <a:xfrm>
          <a:off x="4533900" y="0"/>
          <a:ext cx="4191000" cy="1501373"/>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Copy this worksheet to a new workbook. Save it with the name References 3D.</a:t>
          </a:r>
          <a:endParaRPr lang="en-US" sz="180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80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800">
            <a:solidFill>
              <a:schemeClr val="tx1"/>
            </a:solidFill>
            <a:latin typeface="+mn-lt"/>
            <a:ea typeface="+mn-ea"/>
            <a:cs typeface="+mn-cs"/>
          </a:endParaRPr>
        </a:p>
        <a:p>
          <a:pPr marL="0" indent="0"/>
          <a:endParaRPr lang="en-US" sz="1800">
            <a:solidFill>
              <a:schemeClr val="tx1"/>
            </a:solidFill>
            <a:latin typeface="+mn-lt"/>
            <a:ea typeface="+mn-ea"/>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11</xdr:col>
      <xdr:colOff>533400</xdr:colOff>
      <xdr:row>0</xdr:row>
      <xdr:rowOff>0</xdr:rowOff>
    </xdr:from>
    <xdr:ext cx="5829300" cy="3192221"/>
    <xdr:sp macro="" textlink="">
      <xdr:nvSpPr>
        <xdr:cNvPr id="2" name="CuadroTexto 1">
          <a:extLst>
            <a:ext uri="{FF2B5EF4-FFF2-40B4-BE49-F238E27FC236}">
              <a16:creationId xmlns:a16="http://schemas.microsoft.com/office/drawing/2014/main" id="{405D37C2-9619-4217-B743-66ED2B669723}"/>
            </a:ext>
          </a:extLst>
        </xdr:cNvPr>
        <xdr:cNvSpPr txBox="1"/>
      </xdr:nvSpPr>
      <xdr:spPr>
        <a:xfrm>
          <a:off x="8733971" y="0"/>
          <a:ext cx="5829300" cy="319222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1. Fill in the column "Cost in dollars" using references to the workbook you just saved.</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aseline="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2. Open the workbook, change the data to 1,20 and look what happens in this table.</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aseline="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3. Save the other workbook.</a:t>
          </a:r>
        </a:p>
        <a:p>
          <a:pPr marL="0" marR="0" lvl="0" indent="0" defTabSz="914400" eaLnBrk="1" fontAlgn="auto" latinLnBrk="0" hangingPunct="1">
            <a:lnSpc>
              <a:spcPct val="100000"/>
            </a:lnSpc>
            <a:spcBef>
              <a:spcPts val="0"/>
            </a:spcBef>
            <a:spcAft>
              <a:spcPts val="0"/>
            </a:spcAft>
            <a:buClrTx/>
            <a:buSzTx/>
            <a:buFontTx/>
            <a:buNone/>
            <a:tabLst/>
            <a:defRPr/>
          </a:pPr>
          <a:endParaRPr lang="en-US" sz="1800" baseline="0">
            <a:solidFill>
              <a:schemeClr val="tx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4. Close this workbook, open the other one, change the data to 2, save it and close it. Then, open this book again.</a:t>
          </a:r>
        </a:p>
        <a:p>
          <a:pPr marL="0" indent="0"/>
          <a:endParaRPr lang="en-US" sz="1800">
            <a:solidFill>
              <a:schemeClr val="tx1"/>
            </a:solidFill>
            <a:latin typeface="+mn-lt"/>
            <a:ea typeface="+mn-ea"/>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11</xdr:col>
      <xdr:colOff>790575</xdr:colOff>
      <xdr:row>11</xdr:row>
      <xdr:rowOff>0</xdr:rowOff>
    </xdr:from>
    <xdr:ext cx="6019800" cy="1783180"/>
    <xdr:sp macro="" textlink="">
      <xdr:nvSpPr>
        <xdr:cNvPr id="2" name="CuadroTexto 1">
          <a:extLst>
            <a:ext uri="{FF2B5EF4-FFF2-40B4-BE49-F238E27FC236}">
              <a16:creationId xmlns:a16="http://schemas.microsoft.com/office/drawing/2014/main" id="{90FDAF91-F14F-490A-BB77-59F7DEACAC4D}"/>
            </a:ext>
          </a:extLst>
        </xdr:cNvPr>
        <xdr:cNvSpPr txBox="1"/>
      </xdr:nvSpPr>
      <xdr:spPr>
        <a:xfrm>
          <a:off x="9036504" y="1995714"/>
          <a:ext cx="6019800" cy="178318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a:effectLst/>
            </a:rPr>
            <a:t>Using names instead</a:t>
          </a:r>
          <a:r>
            <a:rPr lang="en-US" sz="1800" baseline="0">
              <a:effectLst/>
            </a:rPr>
            <a:t> of references:</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effectLst/>
            </a:rPr>
            <a:t>1. Create a column with the total cost per box</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effectLst/>
            </a:rPr>
            <a:t>2. Create a column with the total price sale per box</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effectLst/>
            </a:rPr>
            <a:t>3. Create a column with the total profit per box</a:t>
          </a:r>
          <a:endParaRPr lang="en-US" sz="1800">
            <a:effectLst/>
          </a:endParaRPr>
        </a:p>
        <a:p>
          <a:br>
            <a:rPr lang="en-US" sz="1800"/>
          </a:br>
          <a:endParaRPr lang="en-US" sz="1800"/>
        </a:p>
      </xdr:txBody>
    </xdr:sp>
    <xdr:clientData/>
  </xdr:oneCellAnchor>
  <xdr:oneCellAnchor>
    <xdr:from>
      <xdr:col>11</xdr:col>
      <xdr:colOff>733425</xdr:colOff>
      <xdr:row>22</xdr:row>
      <xdr:rowOff>142875</xdr:rowOff>
    </xdr:from>
    <xdr:ext cx="6581775" cy="655949"/>
    <xdr:sp macro="" textlink="">
      <xdr:nvSpPr>
        <xdr:cNvPr id="3" name="CuadroTexto 2">
          <a:extLst>
            <a:ext uri="{FF2B5EF4-FFF2-40B4-BE49-F238E27FC236}">
              <a16:creationId xmlns:a16="http://schemas.microsoft.com/office/drawing/2014/main" id="{CF1D38EF-CBD1-460C-A4CD-A62385CC5DD8}"/>
            </a:ext>
          </a:extLst>
        </xdr:cNvPr>
        <xdr:cNvSpPr txBox="1"/>
      </xdr:nvSpPr>
      <xdr:spPr>
        <a:xfrm>
          <a:off x="8979354" y="4134304"/>
          <a:ext cx="6581775" cy="65594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chemeClr val="tx1"/>
              </a:solidFill>
              <a:latin typeface="+mn-lt"/>
              <a:ea typeface="+mn-ea"/>
              <a:cs typeface="+mn-cs"/>
            </a:rPr>
            <a:t>4. Create a column with the profit in local currency. Define names</a:t>
          </a:r>
          <a:r>
            <a:rPr lang="en-US" sz="1800" baseline="0">
              <a:solidFill>
                <a:schemeClr val="tx1"/>
              </a:solidFill>
              <a:latin typeface="+mn-lt"/>
              <a:ea typeface="+mn-ea"/>
              <a:cs typeface="+mn-cs"/>
            </a:rPr>
            <a:t> for the local currencies and use them in the formulas.</a:t>
          </a:r>
          <a:endParaRPr lang="en-US" sz="1800">
            <a:solidFill>
              <a:schemeClr val="tx1"/>
            </a:solidFill>
            <a:latin typeface="+mn-lt"/>
            <a:ea typeface="+mn-ea"/>
            <a:cs typeface="+mn-cs"/>
          </a:endParaRPr>
        </a:p>
      </xdr:txBody>
    </xdr:sp>
    <xdr:clientData/>
  </xdr:oneCellAnchor>
  <xdr:oneCellAnchor>
    <xdr:from>
      <xdr:col>11</xdr:col>
      <xdr:colOff>161925</xdr:colOff>
      <xdr:row>6</xdr:row>
      <xdr:rowOff>9525</xdr:rowOff>
    </xdr:from>
    <xdr:ext cx="7593425" cy="655949"/>
    <xdr:sp macro="" textlink="">
      <xdr:nvSpPr>
        <xdr:cNvPr id="4" name="CuadroTexto 3">
          <a:extLst>
            <a:ext uri="{FF2B5EF4-FFF2-40B4-BE49-F238E27FC236}">
              <a16:creationId xmlns:a16="http://schemas.microsoft.com/office/drawing/2014/main" id="{D2D881C8-26FA-4D67-86D7-E24FA9019D4E}"/>
            </a:ext>
          </a:extLst>
        </xdr:cNvPr>
        <xdr:cNvSpPr txBox="1"/>
      </xdr:nvSpPr>
      <xdr:spPr>
        <a:xfrm>
          <a:off x="8407854" y="1098096"/>
          <a:ext cx="7593425" cy="65594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aseline="0"/>
            <a:t>You can assign names to cell ranges and use those names instead of references</a:t>
          </a:r>
        </a:p>
        <a:p>
          <a:r>
            <a:rPr lang="en-US" sz="1800" baseline="0"/>
            <a:t>1. Assign names to the data ranges below of each column</a:t>
          </a:r>
          <a:endParaRPr lang="en-US" sz="18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9524</xdr:colOff>
      <xdr:row>0</xdr:row>
      <xdr:rowOff>9525</xdr:rowOff>
    </xdr:from>
    <xdr:to>
      <xdr:col>11</xdr:col>
      <xdr:colOff>723899</xdr:colOff>
      <xdr:row>0</xdr:row>
      <xdr:rowOff>390525</xdr:rowOff>
    </xdr:to>
    <xdr:sp macro="" textlink="">
      <xdr:nvSpPr>
        <xdr:cNvPr id="2" name="Arrow: Right 1">
          <a:extLst>
            <a:ext uri="{FF2B5EF4-FFF2-40B4-BE49-F238E27FC236}">
              <a16:creationId xmlns:a16="http://schemas.microsoft.com/office/drawing/2014/main" id="{737A537D-0D56-43ED-BBE0-6B1F2636F272}"/>
            </a:ext>
          </a:extLst>
        </xdr:cNvPr>
        <xdr:cNvSpPr/>
      </xdr:nvSpPr>
      <xdr:spPr>
        <a:xfrm>
          <a:off x="2505074" y="9525"/>
          <a:ext cx="8410575" cy="38100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2</xdr:row>
      <xdr:rowOff>85725</xdr:rowOff>
    </xdr:from>
    <xdr:to>
      <xdr:col>0</xdr:col>
      <xdr:colOff>695325</xdr:colOff>
      <xdr:row>11</xdr:row>
      <xdr:rowOff>257175</xdr:rowOff>
    </xdr:to>
    <xdr:sp macro="" textlink="">
      <xdr:nvSpPr>
        <xdr:cNvPr id="3" name="Arrow: Down 2">
          <a:extLst>
            <a:ext uri="{FF2B5EF4-FFF2-40B4-BE49-F238E27FC236}">
              <a16:creationId xmlns:a16="http://schemas.microsoft.com/office/drawing/2014/main" id="{C667AC4C-3FDF-4E88-8FBD-F18E1D41E6A3}"/>
            </a:ext>
          </a:extLst>
        </xdr:cNvPr>
        <xdr:cNvSpPr/>
      </xdr:nvSpPr>
      <xdr:spPr>
        <a:xfrm>
          <a:off x="180975" y="885825"/>
          <a:ext cx="514350" cy="5314950"/>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209550</xdr:colOff>
      <xdr:row>4</xdr:row>
      <xdr:rowOff>100404</xdr:rowOff>
    </xdr:from>
    <xdr:ext cx="2838450" cy="843693"/>
    <xdr:sp macro="" textlink="">
      <xdr:nvSpPr>
        <xdr:cNvPr id="4" name="CuadroTexto 3">
          <a:extLst>
            <a:ext uri="{FF2B5EF4-FFF2-40B4-BE49-F238E27FC236}">
              <a16:creationId xmlns:a16="http://schemas.microsoft.com/office/drawing/2014/main" id="{8C83D337-D8E6-442D-868A-C01E7E6CE305}"/>
            </a:ext>
          </a:extLst>
        </xdr:cNvPr>
        <xdr:cNvSpPr txBox="1"/>
      </xdr:nvSpPr>
      <xdr:spPr>
        <a:xfrm>
          <a:off x="11858914" y="2051586"/>
          <a:ext cx="2838450" cy="843693"/>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a:t>Define the data as ranges with names</a:t>
          </a:r>
          <a:r>
            <a:rPr lang="en-US" sz="1600" baseline="0"/>
            <a:t> and use them to fill in the table</a:t>
          </a:r>
          <a:endParaRPr lang="en-US" sz="16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12</xdr:col>
      <xdr:colOff>0</xdr:colOff>
      <xdr:row>11</xdr:row>
      <xdr:rowOff>0</xdr:rowOff>
    </xdr:from>
    <xdr:ext cx="5734050" cy="937757"/>
    <xdr:sp macro="" textlink="">
      <xdr:nvSpPr>
        <xdr:cNvPr id="2" name="CuadroTexto 1">
          <a:extLst>
            <a:ext uri="{FF2B5EF4-FFF2-40B4-BE49-F238E27FC236}">
              <a16:creationId xmlns:a16="http://schemas.microsoft.com/office/drawing/2014/main" id="{C11D5B8E-CC44-4E7D-AF10-7E634632E174}"/>
            </a:ext>
          </a:extLst>
        </xdr:cNvPr>
        <xdr:cNvSpPr txBox="1"/>
      </xdr:nvSpPr>
      <xdr:spPr>
        <a:xfrm>
          <a:off x="9361714" y="1995714"/>
          <a:ext cx="5734050" cy="937757"/>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1. Create a column with the total cost per box</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2. Create a column with the total sales price per box</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effectLst/>
              <a:latin typeface="+mn-lt"/>
              <a:ea typeface="+mn-ea"/>
              <a:cs typeface="+mn-cs"/>
            </a:rPr>
            <a:t>3. Create a column with the total profit per box</a:t>
          </a:r>
          <a:endParaRPr lang="en-US" sz="1800"/>
        </a:p>
      </xdr:txBody>
    </xdr:sp>
    <xdr:clientData/>
  </xdr:oneCellAnchor>
  <xdr:oneCellAnchor>
    <xdr:from>
      <xdr:col>11</xdr:col>
      <xdr:colOff>333375</xdr:colOff>
      <xdr:row>17</xdr:row>
      <xdr:rowOff>144244</xdr:rowOff>
    </xdr:from>
    <xdr:ext cx="7544822" cy="937757"/>
    <xdr:sp macro="" textlink="">
      <xdr:nvSpPr>
        <xdr:cNvPr id="3" name="CuadroTexto 2">
          <a:extLst>
            <a:ext uri="{FF2B5EF4-FFF2-40B4-BE49-F238E27FC236}">
              <a16:creationId xmlns:a16="http://schemas.microsoft.com/office/drawing/2014/main" id="{DFEB1536-F6D8-4B98-B727-AC801EAE95D9}"/>
            </a:ext>
          </a:extLst>
        </xdr:cNvPr>
        <xdr:cNvSpPr txBox="1"/>
      </xdr:nvSpPr>
      <xdr:spPr>
        <a:xfrm>
          <a:off x="8733518" y="3228530"/>
          <a:ext cx="7544822" cy="937757"/>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chemeClr val="tx1"/>
              </a:solidFill>
              <a:latin typeface="+mn-lt"/>
              <a:ea typeface="+mn-ea"/>
              <a:cs typeface="+mn-cs"/>
            </a:rPr>
            <a:t>The symbol $ before a</a:t>
          </a:r>
          <a:r>
            <a:rPr lang="en-US" sz="1800" baseline="0">
              <a:solidFill>
                <a:schemeClr val="tx1"/>
              </a:solidFill>
              <a:latin typeface="+mn-lt"/>
              <a:ea typeface="+mn-ea"/>
              <a:cs typeface="+mn-cs"/>
            </a:rPr>
            <a:t> row and column, sets the cell fixed as an absolute reference.</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chemeClr val="tx1"/>
              </a:solidFill>
              <a:latin typeface="+mn-lt"/>
              <a:ea typeface="+mn-ea"/>
              <a:cs typeface="+mn-cs"/>
            </a:rPr>
            <a:t>4. Create a column with the profit in local currency.</a:t>
          </a:r>
          <a:endParaRPr lang="en-US" sz="1800">
            <a:solidFill>
              <a:schemeClr val="tx1"/>
            </a:solidFill>
            <a:latin typeface="+mn-lt"/>
            <a:ea typeface="+mn-ea"/>
            <a:cs typeface="+mn-cs"/>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guaz\Downloads\Reference3D.xlsx" TargetMode="External"/><Relationship Id="rId1" Type="http://schemas.openxmlformats.org/officeDocument/2006/relationships/externalLinkPath" Target="file:///C:\Users\aguaz\Downloads\Reference3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B2">
            <v>2</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B5AF-DC7A-4227-9349-656986B0CE3F}">
  <dimension ref="A1:O20"/>
  <sheetViews>
    <sheetView topLeftCell="D1" workbookViewId="0">
      <selection activeCell="L23" sqref="L23"/>
    </sheetView>
  </sheetViews>
  <sheetFormatPr defaultColWidth="10.86328125" defaultRowHeight="14.25" x14ac:dyDescent="0.45"/>
  <cols>
    <col min="2" max="2" width="13.59765625" bestFit="1" customWidth="1"/>
    <col min="3" max="3" width="10.86328125" bestFit="1" customWidth="1"/>
    <col min="4" max="4" width="11.3984375" bestFit="1" customWidth="1"/>
    <col min="7" max="7" width="12" bestFit="1" customWidth="1"/>
    <col min="8" max="8" width="16.59765625" customWidth="1"/>
    <col min="9" max="9" width="14.3984375" customWidth="1"/>
    <col min="10" max="10" width="13.265625" bestFit="1" customWidth="1"/>
    <col min="11" max="11" width="12" bestFit="1" customWidth="1"/>
    <col min="12" max="12" width="18.73046875" bestFit="1" customWidth="1"/>
    <col min="13" max="13" width="13.73046875" customWidth="1"/>
    <col min="15" max="15" width="18.1328125" customWidth="1"/>
  </cols>
  <sheetData>
    <row r="1" spans="1:15" x14ac:dyDescent="0.45">
      <c r="A1" s="9" t="s">
        <v>20</v>
      </c>
      <c r="B1" s="9" t="s">
        <v>8</v>
      </c>
      <c r="C1" s="9" t="s">
        <v>9</v>
      </c>
      <c r="D1" s="9" t="s">
        <v>10</v>
      </c>
      <c r="E1" s="9" t="s">
        <v>11</v>
      </c>
      <c r="F1" s="9" t="s">
        <v>12</v>
      </c>
      <c r="G1" s="9" t="s">
        <v>13</v>
      </c>
      <c r="H1" s="9" t="s">
        <v>28</v>
      </c>
      <c r="I1" s="9" t="s">
        <v>29</v>
      </c>
      <c r="J1" s="9" t="s">
        <v>30</v>
      </c>
      <c r="K1" s="9" t="s">
        <v>31</v>
      </c>
      <c r="M1" s="9" t="s">
        <v>16</v>
      </c>
      <c r="N1" s="9" t="s">
        <v>17</v>
      </c>
      <c r="O1" s="9" t="s">
        <v>19</v>
      </c>
    </row>
    <row r="2" spans="1:15" x14ac:dyDescent="0.45">
      <c r="A2" t="s">
        <v>14</v>
      </c>
      <c r="B2">
        <v>2</v>
      </c>
      <c r="C2">
        <v>100</v>
      </c>
      <c r="D2">
        <v>150</v>
      </c>
      <c r="E2" t="s">
        <v>0</v>
      </c>
      <c r="F2">
        <v>20</v>
      </c>
      <c r="G2" t="s">
        <v>1</v>
      </c>
      <c r="H2" s="11">
        <f>C2*B2</f>
        <v>200</v>
      </c>
      <c r="I2">
        <f>B2*D2</f>
        <v>300</v>
      </c>
      <c r="J2" s="15">
        <f>I2-H2</f>
        <v>100</v>
      </c>
      <c r="K2" s="12">
        <f>J2*$O$2</f>
        <v>71428.571428571435</v>
      </c>
      <c r="M2" t="s">
        <v>1</v>
      </c>
      <c r="N2" t="s">
        <v>7</v>
      </c>
      <c r="O2" s="10">
        <f>1/0.0014</f>
        <v>714.28571428571433</v>
      </c>
    </row>
    <row r="3" spans="1:15" x14ac:dyDescent="0.45">
      <c r="A3" t="s">
        <v>14</v>
      </c>
      <c r="B3">
        <v>2</v>
      </c>
      <c r="C3">
        <v>100</v>
      </c>
      <c r="D3">
        <v>150</v>
      </c>
      <c r="E3" t="s">
        <v>2</v>
      </c>
      <c r="F3">
        <v>30</v>
      </c>
      <c r="G3" t="s">
        <v>1</v>
      </c>
      <c r="H3" s="11">
        <f t="shared" ref="H3:H20" si="0">C3*B3</f>
        <v>200</v>
      </c>
      <c r="I3">
        <f t="shared" ref="I3:I20" si="1">B3*D3</f>
        <v>300</v>
      </c>
      <c r="J3" s="15">
        <f t="shared" ref="J3:J20" si="2">I3-H3</f>
        <v>100</v>
      </c>
      <c r="K3" s="12">
        <f t="shared" ref="K3:K15" si="3">J3*$O$2</f>
        <v>71428.571428571435</v>
      </c>
      <c r="M3" t="s">
        <v>6</v>
      </c>
      <c r="N3" t="s">
        <v>18</v>
      </c>
      <c r="O3" s="10">
        <f>1/0.012</f>
        <v>83.333333333333329</v>
      </c>
    </row>
    <row r="4" spans="1:15" x14ac:dyDescent="0.45">
      <c r="A4" t="s">
        <v>14</v>
      </c>
      <c r="B4">
        <v>2</v>
      </c>
      <c r="C4">
        <v>100</v>
      </c>
      <c r="D4">
        <v>150</v>
      </c>
      <c r="E4" t="s">
        <v>3</v>
      </c>
      <c r="F4">
        <v>15</v>
      </c>
      <c r="G4" t="s">
        <v>1</v>
      </c>
      <c r="H4" s="11">
        <f t="shared" si="0"/>
        <v>200</v>
      </c>
      <c r="I4">
        <f t="shared" si="1"/>
        <v>300</v>
      </c>
      <c r="J4" s="15">
        <f t="shared" si="2"/>
        <v>100</v>
      </c>
      <c r="K4" s="12">
        <f t="shared" si="3"/>
        <v>71428.571428571435</v>
      </c>
    </row>
    <row r="5" spans="1:15" x14ac:dyDescent="0.45">
      <c r="A5" t="s">
        <v>14</v>
      </c>
      <c r="B5">
        <v>4</v>
      </c>
      <c r="C5">
        <v>200</v>
      </c>
      <c r="D5">
        <v>300</v>
      </c>
      <c r="E5" t="s">
        <v>0</v>
      </c>
      <c r="F5">
        <v>10</v>
      </c>
      <c r="G5" t="s">
        <v>1</v>
      </c>
      <c r="H5" s="11">
        <f t="shared" si="0"/>
        <v>800</v>
      </c>
      <c r="I5">
        <f t="shared" si="1"/>
        <v>1200</v>
      </c>
      <c r="J5" s="15">
        <f t="shared" si="2"/>
        <v>400</v>
      </c>
      <c r="K5" s="12">
        <f t="shared" si="3"/>
        <v>285714.28571428574</v>
      </c>
    </row>
    <row r="6" spans="1:15" x14ac:dyDescent="0.45">
      <c r="A6" t="s">
        <v>14</v>
      </c>
      <c r="B6">
        <v>4</v>
      </c>
      <c r="C6">
        <v>200</v>
      </c>
      <c r="D6">
        <v>300</v>
      </c>
      <c r="E6" t="s">
        <v>2</v>
      </c>
      <c r="F6">
        <v>20</v>
      </c>
      <c r="G6" t="s">
        <v>1</v>
      </c>
      <c r="H6" s="11">
        <f t="shared" si="0"/>
        <v>800</v>
      </c>
      <c r="I6">
        <f t="shared" si="1"/>
        <v>1200</v>
      </c>
      <c r="J6" s="15">
        <f t="shared" si="2"/>
        <v>400</v>
      </c>
      <c r="K6" s="12">
        <f t="shared" si="3"/>
        <v>285714.28571428574</v>
      </c>
    </row>
    <row r="7" spans="1:15" x14ac:dyDescent="0.45">
      <c r="A7" t="s">
        <v>14</v>
      </c>
      <c r="B7">
        <v>4</v>
      </c>
      <c r="C7">
        <v>200</v>
      </c>
      <c r="D7">
        <v>300</v>
      </c>
      <c r="E7" t="s">
        <v>3</v>
      </c>
      <c r="F7">
        <v>30</v>
      </c>
      <c r="G7" t="s">
        <v>1</v>
      </c>
      <c r="H7" s="11">
        <f t="shared" si="0"/>
        <v>800</v>
      </c>
      <c r="I7">
        <f t="shared" si="1"/>
        <v>1200</v>
      </c>
      <c r="J7" s="15">
        <f t="shared" si="2"/>
        <v>400</v>
      </c>
      <c r="K7" s="12">
        <f t="shared" si="3"/>
        <v>285714.28571428574</v>
      </c>
    </row>
    <row r="8" spans="1:15" x14ac:dyDescent="0.45">
      <c r="A8" t="s">
        <v>14</v>
      </c>
      <c r="B8">
        <v>4</v>
      </c>
      <c r="C8">
        <v>200</v>
      </c>
      <c r="D8">
        <v>300</v>
      </c>
      <c r="E8" t="s">
        <v>4</v>
      </c>
      <c r="F8">
        <v>40</v>
      </c>
      <c r="G8" t="s">
        <v>1</v>
      </c>
      <c r="H8" s="11">
        <f t="shared" si="0"/>
        <v>800</v>
      </c>
      <c r="I8">
        <f t="shared" si="1"/>
        <v>1200</v>
      </c>
      <c r="J8" s="15">
        <f t="shared" si="2"/>
        <v>400</v>
      </c>
      <c r="K8" s="12">
        <f t="shared" si="3"/>
        <v>285714.28571428574</v>
      </c>
    </row>
    <row r="9" spans="1:15" x14ac:dyDescent="0.45">
      <c r="A9" t="s">
        <v>15</v>
      </c>
      <c r="B9">
        <v>2</v>
      </c>
      <c r="C9">
        <v>150</v>
      </c>
      <c r="D9">
        <v>120</v>
      </c>
      <c r="E9" t="s">
        <v>0</v>
      </c>
      <c r="F9">
        <v>5</v>
      </c>
      <c r="G9" t="s">
        <v>1</v>
      </c>
      <c r="H9" s="11">
        <f t="shared" si="0"/>
        <v>300</v>
      </c>
      <c r="I9">
        <f t="shared" si="1"/>
        <v>240</v>
      </c>
      <c r="J9" s="15">
        <f t="shared" si="2"/>
        <v>-60</v>
      </c>
      <c r="K9" s="12">
        <f t="shared" si="3"/>
        <v>-42857.142857142862</v>
      </c>
    </row>
    <row r="10" spans="1:15" x14ac:dyDescent="0.45">
      <c r="A10" t="s">
        <v>15</v>
      </c>
      <c r="B10">
        <v>2</v>
      </c>
      <c r="C10">
        <v>150</v>
      </c>
      <c r="D10">
        <v>120</v>
      </c>
      <c r="E10" t="s">
        <v>2</v>
      </c>
      <c r="F10">
        <v>25</v>
      </c>
      <c r="G10" t="s">
        <v>1</v>
      </c>
      <c r="H10" s="11">
        <f t="shared" si="0"/>
        <v>300</v>
      </c>
      <c r="I10">
        <f t="shared" si="1"/>
        <v>240</v>
      </c>
      <c r="J10" s="15">
        <f t="shared" si="2"/>
        <v>-60</v>
      </c>
      <c r="K10" s="12">
        <f t="shared" si="3"/>
        <v>-42857.142857142862</v>
      </c>
    </row>
    <row r="11" spans="1:15" x14ac:dyDescent="0.45">
      <c r="A11" t="s">
        <v>15</v>
      </c>
      <c r="B11">
        <v>2</v>
      </c>
      <c r="C11">
        <v>150</v>
      </c>
      <c r="D11">
        <v>120</v>
      </c>
      <c r="E11" t="s">
        <v>3</v>
      </c>
      <c r="F11">
        <v>15</v>
      </c>
      <c r="G11" t="s">
        <v>1</v>
      </c>
      <c r="H11" s="11">
        <f t="shared" si="0"/>
        <v>300</v>
      </c>
      <c r="I11">
        <f t="shared" si="1"/>
        <v>240</v>
      </c>
      <c r="J11" s="15">
        <f t="shared" si="2"/>
        <v>-60</v>
      </c>
      <c r="K11" s="12">
        <f t="shared" si="3"/>
        <v>-42857.142857142862</v>
      </c>
    </row>
    <row r="12" spans="1:15" x14ac:dyDescent="0.45">
      <c r="A12" t="s">
        <v>15</v>
      </c>
      <c r="B12">
        <v>4</v>
      </c>
      <c r="C12">
        <v>300</v>
      </c>
      <c r="D12">
        <v>240</v>
      </c>
      <c r="E12" t="s">
        <v>0</v>
      </c>
      <c r="F12">
        <v>20</v>
      </c>
      <c r="G12" t="s">
        <v>1</v>
      </c>
      <c r="H12" s="11">
        <f t="shared" si="0"/>
        <v>1200</v>
      </c>
      <c r="I12">
        <f t="shared" si="1"/>
        <v>960</v>
      </c>
      <c r="J12" s="15">
        <f t="shared" si="2"/>
        <v>-240</v>
      </c>
      <c r="K12" s="12">
        <f t="shared" si="3"/>
        <v>-171428.57142857145</v>
      </c>
    </row>
    <row r="13" spans="1:15" x14ac:dyDescent="0.45">
      <c r="A13" t="s">
        <v>15</v>
      </c>
      <c r="B13">
        <v>4</v>
      </c>
      <c r="C13">
        <v>300</v>
      </c>
      <c r="D13">
        <v>240</v>
      </c>
      <c r="E13" t="s">
        <v>2</v>
      </c>
      <c r="F13">
        <v>10</v>
      </c>
      <c r="G13" t="s">
        <v>1</v>
      </c>
      <c r="H13" s="11">
        <f t="shared" si="0"/>
        <v>1200</v>
      </c>
      <c r="I13">
        <f t="shared" si="1"/>
        <v>960</v>
      </c>
      <c r="J13" s="15">
        <f t="shared" si="2"/>
        <v>-240</v>
      </c>
      <c r="K13" s="12">
        <f t="shared" si="3"/>
        <v>-171428.57142857145</v>
      </c>
    </row>
    <row r="14" spans="1:15" x14ac:dyDescent="0.45">
      <c r="A14" t="s">
        <v>15</v>
      </c>
      <c r="B14">
        <v>4</v>
      </c>
      <c r="C14">
        <v>300</v>
      </c>
      <c r="D14">
        <v>240</v>
      </c>
      <c r="E14" t="s">
        <v>3</v>
      </c>
      <c r="F14">
        <v>5</v>
      </c>
      <c r="G14" t="s">
        <v>1</v>
      </c>
      <c r="H14" s="11">
        <f t="shared" si="0"/>
        <v>1200</v>
      </c>
      <c r="I14">
        <f t="shared" si="1"/>
        <v>960</v>
      </c>
      <c r="J14" s="15">
        <f t="shared" si="2"/>
        <v>-240</v>
      </c>
      <c r="K14" s="12">
        <f t="shared" si="3"/>
        <v>-171428.57142857145</v>
      </c>
    </row>
    <row r="15" spans="1:15" x14ac:dyDescent="0.45">
      <c r="A15" t="s">
        <v>15</v>
      </c>
      <c r="B15">
        <v>4</v>
      </c>
      <c r="C15">
        <v>300</v>
      </c>
      <c r="D15">
        <v>240</v>
      </c>
      <c r="E15" t="s">
        <v>4</v>
      </c>
      <c r="F15">
        <v>25</v>
      </c>
      <c r="G15" t="s">
        <v>1</v>
      </c>
      <c r="H15" s="11">
        <f t="shared" si="0"/>
        <v>1200</v>
      </c>
      <c r="I15">
        <f t="shared" si="1"/>
        <v>960</v>
      </c>
      <c r="J15" s="15">
        <f t="shared" si="2"/>
        <v>-240</v>
      </c>
      <c r="K15" s="12">
        <f t="shared" si="3"/>
        <v>-171428.57142857145</v>
      </c>
    </row>
    <row r="16" spans="1:15" x14ac:dyDescent="0.45">
      <c r="A16" t="s">
        <v>5</v>
      </c>
      <c r="B16">
        <v>2</v>
      </c>
      <c r="C16">
        <v>80</v>
      </c>
      <c r="D16">
        <v>160</v>
      </c>
      <c r="E16" t="s">
        <v>0</v>
      </c>
      <c r="F16">
        <v>35</v>
      </c>
      <c r="G16" t="s">
        <v>6</v>
      </c>
      <c r="H16" s="11">
        <f t="shared" si="0"/>
        <v>160</v>
      </c>
      <c r="I16">
        <f t="shared" si="1"/>
        <v>320</v>
      </c>
      <c r="J16" s="15">
        <f t="shared" si="2"/>
        <v>160</v>
      </c>
      <c r="K16" s="12">
        <f>H16*$O$3</f>
        <v>13333.333333333332</v>
      </c>
    </row>
    <row r="17" spans="1:11" x14ac:dyDescent="0.45">
      <c r="A17" t="s">
        <v>5</v>
      </c>
      <c r="B17">
        <v>2</v>
      </c>
      <c r="C17">
        <v>80</v>
      </c>
      <c r="D17">
        <v>160</v>
      </c>
      <c r="E17" t="s">
        <v>2</v>
      </c>
      <c r="F17">
        <v>40</v>
      </c>
      <c r="G17" t="s">
        <v>6</v>
      </c>
      <c r="H17" s="11">
        <f t="shared" si="0"/>
        <v>160</v>
      </c>
      <c r="I17">
        <f t="shared" si="1"/>
        <v>320</v>
      </c>
      <c r="J17" s="15">
        <f t="shared" si="2"/>
        <v>160</v>
      </c>
      <c r="K17" s="12">
        <f t="shared" ref="K17:K20" si="4">H17*$O$3</f>
        <v>13333.333333333332</v>
      </c>
    </row>
    <row r="18" spans="1:11" x14ac:dyDescent="0.45">
      <c r="A18" t="s">
        <v>5</v>
      </c>
      <c r="B18">
        <v>2</v>
      </c>
      <c r="C18">
        <v>80</v>
      </c>
      <c r="D18">
        <v>160</v>
      </c>
      <c r="E18" t="s">
        <v>3</v>
      </c>
      <c r="F18">
        <v>20</v>
      </c>
      <c r="G18" t="s">
        <v>6</v>
      </c>
      <c r="H18" s="11">
        <f t="shared" si="0"/>
        <v>160</v>
      </c>
      <c r="I18">
        <f t="shared" si="1"/>
        <v>320</v>
      </c>
      <c r="J18" s="15">
        <f t="shared" si="2"/>
        <v>160</v>
      </c>
      <c r="K18" s="12">
        <f t="shared" si="4"/>
        <v>13333.333333333332</v>
      </c>
    </row>
    <row r="19" spans="1:11" x14ac:dyDescent="0.45">
      <c r="A19" t="s">
        <v>5</v>
      </c>
      <c r="B19">
        <v>4</v>
      </c>
      <c r="C19">
        <v>160</v>
      </c>
      <c r="D19">
        <v>320</v>
      </c>
      <c r="E19" t="s">
        <v>0</v>
      </c>
      <c r="F19">
        <v>30</v>
      </c>
      <c r="G19" t="s">
        <v>6</v>
      </c>
      <c r="H19" s="11">
        <f t="shared" si="0"/>
        <v>640</v>
      </c>
      <c r="I19">
        <f t="shared" si="1"/>
        <v>1280</v>
      </c>
      <c r="J19" s="15">
        <f t="shared" si="2"/>
        <v>640</v>
      </c>
      <c r="K19" s="12">
        <f t="shared" si="4"/>
        <v>53333.333333333328</v>
      </c>
    </row>
    <row r="20" spans="1:11" x14ac:dyDescent="0.45">
      <c r="A20" t="s">
        <v>5</v>
      </c>
      <c r="B20">
        <v>4</v>
      </c>
      <c r="C20">
        <v>160</v>
      </c>
      <c r="D20">
        <v>320</v>
      </c>
      <c r="E20" t="s">
        <v>2</v>
      </c>
      <c r="F20">
        <v>40</v>
      </c>
      <c r="G20" t="s">
        <v>6</v>
      </c>
      <c r="H20" s="11">
        <f t="shared" si="0"/>
        <v>640</v>
      </c>
      <c r="I20">
        <f t="shared" si="1"/>
        <v>1280</v>
      </c>
      <c r="J20" s="15">
        <f t="shared" si="2"/>
        <v>640</v>
      </c>
      <c r="K20" s="12">
        <f t="shared" si="4"/>
        <v>53333.333333333328</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3DA0-4EA5-4EEA-9C74-0ECB363F9F01}">
  <dimension ref="A1:O12"/>
  <sheetViews>
    <sheetView topLeftCell="A6" zoomScale="70" zoomScaleNormal="70" workbookViewId="0">
      <selection activeCell="C3" sqref="C3"/>
    </sheetView>
  </sheetViews>
  <sheetFormatPr defaultColWidth="9.1328125" defaultRowHeight="14.25" x14ac:dyDescent="0.45"/>
  <cols>
    <col min="1" max="1" width="12.73046875" bestFit="1" customWidth="1"/>
    <col min="2" max="2" width="10.265625" customWidth="1"/>
    <col min="3" max="12" width="14.3984375" customWidth="1"/>
    <col min="13" max="13" width="3.86328125" customWidth="1"/>
    <col min="14" max="14" width="85.73046875" customWidth="1"/>
  </cols>
  <sheetData>
    <row r="1" spans="1:15" ht="38.25" customHeight="1" x14ac:dyDescent="0.45">
      <c r="C1" s="7" t="s">
        <v>21</v>
      </c>
      <c r="D1" s="2"/>
      <c r="E1" s="2"/>
      <c r="F1" s="2"/>
      <c r="G1" s="2"/>
      <c r="H1" s="2"/>
      <c r="I1" s="2"/>
      <c r="J1" s="2"/>
      <c r="K1" s="2"/>
      <c r="L1" s="2"/>
      <c r="N1" s="17" t="s">
        <v>24</v>
      </c>
    </row>
    <row r="2" spans="1:15" s="3" customFormat="1" ht="24.75" customHeight="1" x14ac:dyDescent="0.45">
      <c r="A2" s="4" t="s">
        <v>22</v>
      </c>
      <c r="C2" s="5">
        <v>1</v>
      </c>
      <c r="D2" s="5">
        <v>2</v>
      </c>
      <c r="E2" s="5">
        <v>3</v>
      </c>
      <c r="F2" s="5">
        <v>4</v>
      </c>
      <c r="G2" s="5">
        <v>5</v>
      </c>
      <c r="H2" s="5">
        <v>6</v>
      </c>
      <c r="I2" s="5">
        <v>7</v>
      </c>
      <c r="J2" s="5">
        <v>8</v>
      </c>
      <c r="K2" s="5">
        <v>9</v>
      </c>
      <c r="L2" s="5">
        <v>10</v>
      </c>
      <c r="N2" s="17"/>
    </row>
    <row r="3" spans="1:15" ht="45" customHeight="1" x14ac:dyDescent="0.65">
      <c r="A3" s="1"/>
      <c r="B3" s="6">
        <v>1</v>
      </c>
      <c r="C3" s="8">
        <f>$B3*C$2</f>
        <v>1</v>
      </c>
      <c r="D3" s="8">
        <f t="shared" ref="D3:L12" si="0">$B3*D$2</f>
        <v>2</v>
      </c>
      <c r="E3" s="8">
        <f t="shared" si="0"/>
        <v>3</v>
      </c>
      <c r="F3" s="8">
        <f t="shared" si="0"/>
        <v>4</v>
      </c>
      <c r="G3" s="8">
        <f t="shared" si="0"/>
        <v>5</v>
      </c>
      <c r="H3" s="8">
        <f t="shared" si="0"/>
        <v>6</v>
      </c>
      <c r="I3" s="8">
        <f t="shared" si="0"/>
        <v>7</v>
      </c>
      <c r="J3" s="8">
        <f t="shared" si="0"/>
        <v>8</v>
      </c>
      <c r="K3" s="8">
        <f t="shared" si="0"/>
        <v>9</v>
      </c>
      <c r="L3" s="8">
        <f t="shared" si="0"/>
        <v>10</v>
      </c>
      <c r="N3" s="17"/>
    </row>
    <row r="4" spans="1:15" ht="45" customHeight="1" x14ac:dyDescent="0.65">
      <c r="A4" s="1"/>
      <c r="B4" s="6">
        <v>2</v>
      </c>
      <c r="C4" s="8">
        <f t="shared" ref="C4:C12" si="1">$B4*C$2</f>
        <v>2</v>
      </c>
      <c r="D4" s="8">
        <f t="shared" si="0"/>
        <v>4</v>
      </c>
      <c r="E4" s="8">
        <f t="shared" si="0"/>
        <v>6</v>
      </c>
      <c r="F4" s="8">
        <f t="shared" si="0"/>
        <v>8</v>
      </c>
      <c r="G4" s="8">
        <f t="shared" si="0"/>
        <v>10</v>
      </c>
      <c r="H4" s="8">
        <f t="shared" si="0"/>
        <v>12</v>
      </c>
      <c r="I4" s="8">
        <f t="shared" si="0"/>
        <v>14</v>
      </c>
      <c r="J4" s="8">
        <f t="shared" si="0"/>
        <v>16</v>
      </c>
      <c r="K4" s="8">
        <f t="shared" si="0"/>
        <v>18</v>
      </c>
      <c r="L4" s="8">
        <f t="shared" si="0"/>
        <v>20</v>
      </c>
      <c r="N4" s="16" t="s">
        <v>23</v>
      </c>
    </row>
    <row r="5" spans="1:15" ht="45" customHeight="1" x14ac:dyDescent="0.65">
      <c r="A5" s="1"/>
      <c r="B5" s="6">
        <v>3</v>
      </c>
      <c r="C5" s="8">
        <f t="shared" si="1"/>
        <v>3</v>
      </c>
      <c r="D5" s="8">
        <f t="shared" si="0"/>
        <v>6</v>
      </c>
      <c r="E5" s="8">
        <f t="shared" si="0"/>
        <v>9</v>
      </c>
      <c r="F5" s="8">
        <f t="shared" si="0"/>
        <v>12</v>
      </c>
      <c r="G5" s="8">
        <f t="shared" si="0"/>
        <v>15</v>
      </c>
      <c r="H5" s="8">
        <f t="shared" si="0"/>
        <v>18</v>
      </c>
      <c r="I5" s="8">
        <f t="shared" si="0"/>
        <v>21</v>
      </c>
      <c r="J5" s="8">
        <f t="shared" si="0"/>
        <v>24</v>
      </c>
      <c r="K5" s="8">
        <f t="shared" si="0"/>
        <v>27</v>
      </c>
      <c r="L5" s="8">
        <f t="shared" si="0"/>
        <v>30</v>
      </c>
      <c r="N5" s="16"/>
    </row>
    <row r="6" spans="1:15" ht="45" customHeight="1" x14ac:dyDescent="0.65">
      <c r="A6" s="1"/>
      <c r="B6" s="6">
        <v>4</v>
      </c>
      <c r="C6" s="8">
        <f t="shared" si="1"/>
        <v>4</v>
      </c>
      <c r="D6" s="8">
        <f t="shared" si="0"/>
        <v>8</v>
      </c>
      <c r="E6" s="8">
        <f t="shared" si="0"/>
        <v>12</v>
      </c>
      <c r="F6" s="8">
        <f t="shared" si="0"/>
        <v>16</v>
      </c>
      <c r="G6" s="8">
        <f t="shared" si="0"/>
        <v>20</v>
      </c>
      <c r="H6" s="8">
        <f t="shared" si="0"/>
        <v>24</v>
      </c>
      <c r="I6" s="8">
        <f t="shared" si="0"/>
        <v>28</v>
      </c>
      <c r="J6" s="8">
        <f t="shared" si="0"/>
        <v>32</v>
      </c>
      <c r="K6" s="8">
        <f t="shared" si="0"/>
        <v>36</v>
      </c>
      <c r="L6" s="8">
        <f t="shared" si="0"/>
        <v>40</v>
      </c>
      <c r="N6" s="16"/>
    </row>
    <row r="7" spans="1:15" ht="45" customHeight="1" x14ac:dyDescent="0.65">
      <c r="A7" s="1"/>
      <c r="B7" s="6">
        <v>5</v>
      </c>
      <c r="C7" s="8">
        <f t="shared" si="1"/>
        <v>5</v>
      </c>
      <c r="D7" s="8">
        <f t="shared" si="0"/>
        <v>10</v>
      </c>
      <c r="E7" s="8">
        <f t="shared" si="0"/>
        <v>15</v>
      </c>
      <c r="F7" s="8">
        <f t="shared" si="0"/>
        <v>20</v>
      </c>
      <c r="G7" s="8">
        <f t="shared" si="0"/>
        <v>25</v>
      </c>
      <c r="H7" s="8">
        <f t="shared" si="0"/>
        <v>30</v>
      </c>
      <c r="I7" s="8">
        <f t="shared" si="0"/>
        <v>35</v>
      </c>
      <c r="J7" s="8">
        <f t="shared" si="0"/>
        <v>40</v>
      </c>
      <c r="K7" s="8">
        <f t="shared" si="0"/>
        <v>45</v>
      </c>
      <c r="L7" s="8">
        <f t="shared" si="0"/>
        <v>50</v>
      </c>
      <c r="N7" s="16"/>
    </row>
    <row r="8" spans="1:15" ht="45" customHeight="1" x14ac:dyDescent="0.65">
      <c r="A8" s="1"/>
      <c r="B8" s="6">
        <v>6</v>
      </c>
      <c r="C8" s="8">
        <f t="shared" si="1"/>
        <v>6</v>
      </c>
      <c r="D8" s="8">
        <f t="shared" si="0"/>
        <v>12</v>
      </c>
      <c r="E8" s="8">
        <f t="shared" si="0"/>
        <v>18</v>
      </c>
      <c r="F8" s="8">
        <f t="shared" si="0"/>
        <v>24</v>
      </c>
      <c r="G8" s="8">
        <f t="shared" si="0"/>
        <v>30</v>
      </c>
      <c r="H8" s="8">
        <f t="shared" si="0"/>
        <v>36</v>
      </c>
      <c r="I8" s="8">
        <f t="shared" si="0"/>
        <v>42</v>
      </c>
      <c r="J8" s="8">
        <f t="shared" si="0"/>
        <v>48</v>
      </c>
      <c r="K8" s="8">
        <f t="shared" si="0"/>
        <v>54</v>
      </c>
      <c r="L8" s="8">
        <f t="shared" si="0"/>
        <v>60</v>
      </c>
      <c r="N8" s="16"/>
    </row>
    <row r="9" spans="1:15" ht="45" customHeight="1" x14ac:dyDescent="0.65">
      <c r="A9" s="1"/>
      <c r="B9" s="6">
        <v>7</v>
      </c>
      <c r="C9" s="8">
        <f t="shared" si="1"/>
        <v>7</v>
      </c>
      <c r="D9" s="8">
        <f t="shared" si="0"/>
        <v>14</v>
      </c>
      <c r="E9" s="8">
        <f t="shared" si="0"/>
        <v>21</v>
      </c>
      <c r="F9" s="8">
        <f t="shared" si="0"/>
        <v>28</v>
      </c>
      <c r="G9" s="8">
        <f t="shared" si="0"/>
        <v>35</v>
      </c>
      <c r="H9" s="8">
        <f t="shared" si="0"/>
        <v>42</v>
      </c>
      <c r="I9" s="8">
        <f t="shared" si="0"/>
        <v>49</v>
      </c>
      <c r="J9" s="8">
        <f t="shared" si="0"/>
        <v>56</v>
      </c>
      <c r="K9" s="8">
        <f t="shared" si="0"/>
        <v>63</v>
      </c>
      <c r="L9" s="8">
        <f t="shared" si="0"/>
        <v>70</v>
      </c>
    </row>
    <row r="10" spans="1:15" ht="45" customHeight="1" x14ac:dyDescent="0.75">
      <c r="A10" s="1"/>
      <c r="B10" s="6">
        <v>8</v>
      </c>
      <c r="C10" s="8">
        <f t="shared" si="1"/>
        <v>8</v>
      </c>
      <c r="D10" s="8">
        <f t="shared" si="0"/>
        <v>16</v>
      </c>
      <c r="E10" s="8">
        <f t="shared" si="0"/>
        <v>24</v>
      </c>
      <c r="F10" s="8">
        <f t="shared" si="0"/>
        <v>32</v>
      </c>
      <c r="G10" s="8">
        <f t="shared" si="0"/>
        <v>40</v>
      </c>
      <c r="H10" s="8">
        <f t="shared" si="0"/>
        <v>48</v>
      </c>
      <c r="I10" s="8">
        <f t="shared" si="0"/>
        <v>56</v>
      </c>
      <c r="J10" s="8">
        <f t="shared" si="0"/>
        <v>64</v>
      </c>
      <c r="K10" s="8">
        <f t="shared" si="0"/>
        <v>72</v>
      </c>
      <c r="L10" s="8">
        <f t="shared" si="0"/>
        <v>80</v>
      </c>
      <c r="N10" s="13" t="s">
        <v>25</v>
      </c>
      <c r="O10" s="14">
        <v>1.1599999999999999</v>
      </c>
    </row>
    <row r="11" spans="1:15" ht="45" customHeight="1" x14ac:dyDescent="0.65">
      <c r="A11" s="1"/>
      <c r="B11" s="6">
        <v>9</v>
      </c>
      <c r="C11" s="8">
        <f t="shared" si="1"/>
        <v>9</v>
      </c>
      <c r="D11" s="8">
        <f t="shared" si="0"/>
        <v>18</v>
      </c>
      <c r="E11" s="8">
        <f t="shared" si="0"/>
        <v>27</v>
      </c>
      <c r="F11" s="8">
        <f t="shared" si="0"/>
        <v>36</v>
      </c>
      <c r="G11" s="8">
        <f t="shared" si="0"/>
        <v>45</v>
      </c>
      <c r="H11" s="8">
        <f t="shared" si="0"/>
        <v>54</v>
      </c>
      <c r="I11" s="8">
        <f t="shared" si="0"/>
        <v>63</v>
      </c>
      <c r="J11" s="8">
        <f t="shared" si="0"/>
        <v>72</v>
      </c>
      <c r="K11" s="8">
        <f t="shared" si="0"/>
        <v>81</v>
      </c>
      <c r="L11" s="8">
        <f t="shared" si="0"/>
        <v>90</v>
      </c>
    </row>
    <row r="12" spans="1:15" ht="45" customHeight="1" x14ac:dyDescent="0.65">
      <c r="A12" s="1"/>
      <c r="B12" s="6">
        <v>10</v>
      </c>
      <c r="C12" s="8">
        <f t="shared" si="1"/>
        <v>10</v>
      </c>
      <c r="D12" s="8">
        <f t="shared" si="0"/>
        <v>20</v>
      </c>
      <c r="E12" s="8">
        <f t="shared" si="0"/>
        <v>30</v>
      </c>
      <c r="F12" s="8">
        <f t="shared" si="0"/>
        <v>40</v>
      </c>
      <c r="G12" s="8">
        <f t="shared" si="0"/>
        <v>50</v>
      </c>
      <c r="H12" s="8">
        <f t="shared" si="0"/>
        <v>60</v>
      </c>
      <c r="I12" s="8">
        <f t="shared" si="0"/>
        <v>70</v>
      </c>
      <c r="J12" s="8">
        <f t="shared" si="0"/>
        <v>80</v>
      </c>
      <c r="K12" s="8">
        <f t="shared" si="0"/>
        <v>90</v>
      </c>
      <c r="L12" s="8">
        <f t="shared" si="0"/>
        <v>100</v>
      </c>
    </row>
  </sheetData>
  <mergeCells count="2">
    <mergeCell ref="N4:N8"/>
    <mergeCell ref="N1:N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9D03-5F9B-40FF-8B1F-380A3366C473}">
  <dimension ref="A1:H20"/>
  <sheetViews>
    <sheetView tabSelected="1" topLeftCell="B1" zoomScaleNormal="100" workbookViewId="0">
      <selection activeCell="H2" sqref="H2"/>
    </sheetView>
  </sheetViews>
  <sheetFormatPr defaultColWidth="10.86328125" defaultRowHeight="14.25" x14ac:dyDescent="0.45"/>
  <cols>
    <col min="2" max="2" width="7.3984375" customWidth="1"/>
    <col min="3" max="3" width="10.86328125" bestFit="1" customWidth="1"/>
    <col min="4" max="4" width="15.59765625" customWidth="1"/>
    <col min="7" max="7" width="12" bestFit="1" customWidth="1"/>
    <col min="8" max="8" width="18" customWidth="1"/>
    <col min="11" max="11" width="18.73046875" bestFit="1" customWidth="1"/>
    <col min="12" max="12" width="13.73046875" customWidth="1"/>
    <col min="14" max="14" width="18.1328125" customWidth="1"/>
  </cols>
  <sheetData>
    <row r="1" spans="1:8" x14ac:dyDescent="0.45">
      <c r="A1" s="9" t="s">
        <v>20</v>
      </c>
      <c r="B1" s="9" t="s">
        <v>8</v>
      </c>
      <c r="C1" s="9" t="s">
        <v>9</v>
      </c>
      <c r="D1" s="9" t="s">
        <v>10</v>
      </c>
      <c r="E1" s="9" t="s">
        <v>11</v>
      </c>
      <c r="F1" s="9" t="s">
        <v>12</v>
      </c>
      <c r="G1" s="9" t="s">
        <v>13</v>
      </c>
      <c r="H1" s="9" t="s">
        <v>32</v>
      </c>
    </row>
    <row r="2" spans="1:8" x14ac:dyDescent="0.45">
      <c r="A2" t="s">
        <v>14</v>
      </c>
      <c r="B2">
        <v>2</v>
      </c>
      <c r="C2">
        <v>100</v>
      </c>
      <c r="D2">
        <v>150</v>
      </c>
      <c r="E2" t="s">
        <v>0</v>
      </c>
      <c r="F2">
        <v>20</v>
      </c>
      <c r="G2" t="s">
        <v>1</v>
      </c>
      <c r="H2">
        <f>(D2-C2)*B2*F2*'Mixed references'!$O$10</f>
        <v>2320</v>
      </c>
    </row>
    <row r="3" spans="1:8" x14ac:dyDescent="0.45">
      <c r="A3" t="s">
        <v>14</v>
      </c>
      <c r="B3">
        <v>2</v>
      </c>
      <c r="C3">
        <v>100</v>
      </c>
      <c r="D3">
        <v>150</v>
      </c>
      <c r="E3" t="s">
        <v>2</v>
      </c>
      <c r="F3">
        <v>30</v>
      </c>
      <c r="G3" t="s">
        <v>1</v>
      </c>
      <c r="H3">
        <f>(D3-C3)*B3*F3*'Mixed references'!$O$10</f>
        <v>3479.9999999999995</v>
      </c>
    </row>
    <row r="4" spans="1:8" x14ac:dyDescent="0.45">
      <c r="A4" t="s">
        <v>14</v>
      </c>
      <c r="B4">
        <v>2</v>
      </c>
      <c r="C4">
        <v>100</v>
      </c>
      <c r="D4">
        <v>150</v>
      </c>
      <c r="E4" t="s">
        <v>3</v>
      </c>
      <c r="F4">
        <v>15</v>
      </c>
      <c r="G4" t="s">
        <v>1</v>
      </c>
      <c r="H4">
        <f>(D4-C4)*B4*F4*'Mixed references'!$O$10</f>
        <v>1739.9999999999998</v>
      </c>
    </row>
    <row r="5" spans="1:8" x14ac:dyDescent="0.45">
      <c r="A5" t="s">
        <v>14</v>
      </c>
      <c r="B5">
        <v>4</v>
      </c>
      <c r="C5">
        <v>200</v>
      </c>
      <c r="D5">
        <v>300</v>
      </c>
      <c r="E5" t="s">
        <v>0</v>
      </c>
      <c r="F5">
        <v>10</v>
      </c>
      <c r="G5" t="s">
        <v>1</v>
      </c>
      <c r="H5">
        <f>(D5-C5)*B5*F5*'Mixed references'!$O$10</f>
        <v>4640</v>
      </c>
    </row>
    <row r="6" spans="1:8" x14ac:dyDescent="0.45">
      <c r="A6" t="s">
        <v>14</v>
      </c>
      <c r="B6">
        <v>4</v>
      </c>
      <c r="C6">
        <v>200</v>
      </c>
      <c r="D6">
        <v>300</v>
      </c>
      <c r="E6" t="s">
        <v>2</v>
      </c>
      <c r="F6">
        <v>20</v>
      </c>
      <c r="G6" t="s">
        <v>1</v>
      </c>
      <c r="H6">
        <f>(D6-C6)*B6*F6*'Mixed references'!$O$10</f>
        <v>9280</v>
      </c>
    </row>
    <row r="7" spans="1:8" x14ac:dyDescent="0.45">
      <c r="A7" t="s">
        <v>14</v>
      </c>
      <c r="B7">
        <v>4</v>
      </c>
      <c r="C7">
        <v>200</v>
      </c>
      <c r="D7">
        <v>300</v>
      </c>
      <c r="E7" t="s">
        <v>3</v>
      </c>
      <c r="F7">
        <v>30</v>
      </c>
      <c r="G7" t="s">
        <v>1</v>
      </c>
      <c r="H7">
        <f>(D7-C7)*B7*F7*'Mixed references'!$O$10</f>
        <v>13919.999999999998</v>
      </c>
    </row>
    <row r="8" spans="1:8" x14ac:dyDescent="0.45">
      <c r="A8" t="s">
        <v>14</v>
      </c>
      <c r="B8">
        <v>4</v>
      </c>
      <c r="C8">
        <v>200</v>
      </c>
      <c r="D8">
        <v>300</v>
      </c>
      <c r="E8" t="s">
        <v>4</v>
      </c>
      <c r="F8">
        <v>40</v>
      </c>
      <c r="G8" t="s">
        <v>1</v>
      </c>
      <c r="H8">
        <f>(D8-C8)*B8*F8*'Mixed references'!$O$10</f>
        <v>18560</v>
      </c>
    </row>
    <row r="9" spans="1:8" x14ac:dyDescent="0.45">
      <c r="A9" t="s">
        <v>15</v>
      </c>
      <c r="B9">
        <v>2</v>
      </c>
      <c r="C9">
        <v>150</v>
      </c>
      <c r="D9">
        <v>120</v>
      </c>
      <c r="E9" t="s">
        <v>0</v>
      </c>
      <c r="F9">
        <v>5</v>
      </c>
      <c r="G9" t="s">
        <v>1</v>
      </c>
      <c r="H9">
        <f>(D9-C9)*B9*F9*'Mixed references'!$O$10</f>
        <v>-348</v>
      </c>
    </row>
    <row r="10" spans="1:8" x14ac:dyDescent="0.45">
      <c r="A10" t="s">
        <v>15</v>
      </c>
      <c r="B10">
        <v>2</v>
      </c>
      <c r="C10">
        <v>150</v>
      </c>
      <c r="D10">
        <v>120</v>
      </c>
      <c r="E10" t="s">
        <v>2</v>
      </c>
      <c r="F10">
        <v>25</v>
      </c>
      <c r="G10" t="s">
        <v>1</v>
      </c>
      <c r="H10">
        <f>(D10-C10)*B10*F10*'Mixed references'!$O$10</f>
        <v>-1739.9999999999998</v>
      </c>
    </row>
    <row r="11" spans="1:8" x14ac:dyDescent="0.45">
      <c r="A11" t="s">
        <v>15</v>
      </c>
      <c r="B11">
        <v>2</v>
      </c>
      <c r="C11">
        <v>150</v>
      </c>
      <c r="D11">
        <v>120</v>
      </c>
      <c r="E11" t="s">
        <v>3</v>
      </c>
      <c r="F11">
        <v>15</v>
      </c>
      <c r="G11" t="s">
        <v>1</v>
      </c>
      <c r="H11">
        <f>(D11-C11)*B11*F11*'Mixed references'!$O$10</f>
        <v>-1044</v>
      </c>
    </row>
    <row r="12" spans="1:8" x14ac:dyDescent="0.45">
      <c r="A12" t="s">
        <v>15</v>
      </c>
      <c r="B12">
        <v>4</v>
      </c>
      <c r="C12">
        <v>300</v>
      </c>
      <c r="D12">
        <v>240</v>
      </c>
      <c r="E12" t="s">
        <v>0</v>
      </c>
      <c r="F12">
        <v>20</v>
      </c>
      <c r="G12" t="s">
        <v>1</v>
      </c>
      <c r="H12">
        <f>(D12-C12)*B12*F12*'Mixed references'!$O$10</f>
        <v>-5568</v>
      </c>
    </row>
    <row r="13" spans="1:8" x14ac:dyDescent="0.45">
      <c r="A13" t="s">
        <v>15</v>
      </c>
      <c r="B13">
        <v>4</v>
      </c>
      <c r="C13">
        <v>300</v>
      </c>
      <c r="D13">
        <v>240</v>
      </c>
      <c r="E13" t="s">
        <v>2</v>
      </c>
      <c r="F13">
        <v>10</v>
      </c>
      <c r="G13" t="s">
        <v>1</v>
      </c>
      <c r="H13">
        <f>(D13-C13)*B13*F13*'Mixed references'!$O$10</f>
        <v>-2784</v>
      </c>
    </row>
    <row r="14" spans="1:8" x14ac:dyDescent="0.45">
      <c r="A14" t="s">
        <v>15</v>
      </c>
      <c r="B14">
        <v>4</v>
      </c>
      <c r="C14">
        <v>300</v>
      </c>
      <c r="D14">
        <v>240</v>
      </c>
      <c r="E14" t="s">
        <v>3</v>
      </c>
      <c r="F14">
        <v>5</v>
      </c>
      <c r="G14" t="s">
        <v>1</v>
      </c>
      <c r="H14">
        <f>(D14-C14)*B14*F14*'Mixed references'!$O$10</f>
        <v>-1392</v>
      </c>
    </row>
    <row r="15" spans="1:8" x14ac:dyDescent="0.45">
      <c r="A15" t="s">
        <v>15</v>
      </c>
      <c r="B15">
        <v>4</v>
      </c>
      <c r="C15">
        <v>300</v>
      </c>
      <c r="D15">
        <v>240</v>
      </c>
      <c r="E15" t="s">
        <v>4</v>
      </c>
      <c r="F15">
        <v>25</v>
      </c>
      <c r="G15" t="s">
        <v>1</v>
      </c>
      <c r="H15">
        <f>(D15-C15)*B15*F15*'Mixed references'!$O$10</f>
        <v>-6959.9999999999991</v>
      </c>
    </row>
    <row r="16" spans="1:8" x14ac:dyDescent="0.45">
      <c r="A16" t="s">
        <v>5</v>
      </c>
      <c r="B16">
        <v>2</v>
      </c>
      <c r="C16">
        <v>80</v>
      </c>
      <c r="D16">
        <v>160</v>
      </c>
      <c r="E16" t="s">
        <v>0</v>
      </c>
      <c r="F16">
        <v>35</v>
      </c>
      <c r="G16" t="s">
        <v>6</v>
      </c>
      <c r="H16">
        <f>(D16-C16)*B16*F16*'Mixed references'!$O$10</f>
        <v>6496</v>
      </c>
    </row>
    <row r="17" spans="1:8" x14ac:dyDescent="0.45">
      <c r="A17" t="s">
        <v>5</v>
      </c>
      <c r="B17">
        <v>2</v>
      </c>
      <c r="C17">
        <v>80</v>
      </c>
      <c r="D17">
        <v>160</v>
      </c>
      <c r="E17" t="s">
        <v>2</v>
      </c>
      <c r="F17">
        <v>40</v>
      </c>
      <c r="G17" t="s">
        <v>6</v>
      </c>
      <c r="H17">
        <f>(D17-C17)*B17*F17*'Mixed references'!$O$10</f>
        <v>7423.9999999999991</v>
      </c>
    </row>
    <row r="18" spans="1:8" x14ac:dyDescent="0.45">
      <c r="A18" t="s">
        <v>5</v>
      </c>
      <c r="B18">
        <v>2</v>
      </c>
      <c r="C18">
        <v>80</v>
      </c>
      <c r="D18">
        <v>160</v>
      </c>
      <c r="E18" t="s">
        <v>3</v>
      </c>
      <c r="F18">
        <v>20</v>
      </c>
      <c r="G18" t="s">
        <v>6</v>
      </c>
      <c r="H18">
        <f>(D18-C18)*B18*F18*'Mixed references'!$O$10</f>
        <v>3711.9999999999995</v>
      </c>
    </row>
    <row r="19" spans="1:8" x14ac:dyDescent="0.45">
      <c r="A19" t="s">
        <v>5</v>
      </c>
      <c r="B19">
        <v>4</v>
      </c>
      <c r="C19">
        <v>160</v>
      </c>
      <c r="D19">
        <v>320</v>
      </c>
      <c r="E19" t="s">
        <v>0</v>
      </c>
      <c r="F19">
        <v>30</v>
      </c>
      <c r="G19" t="s">
        <v>6</v>
      </c>
      <c r="H19">
        <f>(D19-C19)*B19*F19*'Mixed references'!$O$10</f>
        <v>22272</v>
      </c>
    </row>
    <row r="20" spans="1:8" x14ac:dyDescent="0.45">
      <c r="A20" t="s">
        <v>5</v>
      </c>
      <c r="B20">
        <v>4</v>
      </c>
      <c r="C20">
        <v>160</v>
      </c>
      <c r="D20">
        <v>320</v>
      </c>
      <c r="E20" t="s">
        <v>2</v>
      </c>
      <c r="F20">
        <v>40</v>
      </c>
      <c r="G20" t="s">
        <v>6</v>
      </c>
      <c r="H20">
        <f>(D20-C20)*B20*F20*'Mixed references'!$O$10</f>
        <v>29695.999999999996</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9668-2AED-4F7D-AF85-8157AD0C480C}">
  <dimension ref="A2:B2"/>
  <sheetViews>
    <sheetView workbookViewId="0">
      <selection activeCell="D8" sqref="D8"/>
    </sheetView>
  </sheetViews>
  <sheetFormatPr defaultColWidth="10.86328125" defaultRowHeight="14.25" x14ac:dyDescent="0.45"/>
  <cols>
    <col min="1" max="1" width="24.59765625" bestFit="1" customWidth="1"/>
  </cols>
  <sheetData>
    <row r="2" spans="1:2" x14ac:dyDescent="0.45">
      <c r="A2" t="s">
        <v>25</v>
      </c>
      <c r="B2" s="12">
        <v>1.1599999999999999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EC51-D9B7-45F8-9A4F-70890D1B2E53}">
  <dimension ref="A1:H20"/>
  <sheetViews>
    <sheetView topLeftCell="B1" zoomScaleNormal="100" workbookViewId="0">
      <selection activeCell="H19" sqref="H19"/>
    </sheetView>
  </sheetViews>
  <sheetFormatPr defaultColWidth="10.86328125" defaultRowHeight="14.25" x14ac:dyDescent="0.45"/>
  <cols>
    <col min="2" max="2" width="7.3984375" customWidth="1"/>
    <col min="3" max="3" width="5.86328125" customWidth="1"/>
    <col min="7" max="7" width="12" bestFit="1" customWidth="1"/>
    <col min="8" max="8" width="15.86328125" bestFit="1" customWidth="1"/>
  </cols>
  <sheetData>
    <row r="1" spans="1:8" x14ac:dyDescent="0.45">
      <c r="A1" s="9" t="s">
        <v>20</v>
      </c>
      <c r="B1" s="9" t="s">
        <v>8</v>
      </c>
      <c r="C1" s="9" t="s">
        <v>9</v>
      </c>
      <c r="D1" s="9" t="s">
        <v>10</v>
      </c>
      <c r="E1" s="9" t="s">
        <v>11</v>
      </c>
      <c r="F1" s="9" t="s">
        <v>12</v>
      </c>
      <c r="G1" s="9" t="s">
        <v>13</v>
      </c>
      <c r="H1" s="9" t="s">
        <v>26</v>
      </c>
    </row>
    <row r="2" spans="1:8" x14ac:dyDescent="0.45">
      <c r="A2" t="s">
        <v>14</v>
      </c>
      <c r="B2">
        <v>2</v>
      </c>
      <c r="C2">
        <v>100</v>
      </c>
      <c r="D2">
        <v>150</v>
      </c>
      <c r="E2" t="s">
        <v>0</v>
      </c>
      <c r="F2">
        <v>20</v>
      </c>
      <c r="G2" t="s">
        <v>1</v>
      </c>
      <c r="H2">
        <f>(D2-C2)*B2*F2*[1]Sheet1!$B$2</f>
        <v>4000</v>
      </c>
    </row>
    <row r="3" spans="1:8" x14ac:dyDescent="0.45">
      <c r="A3" t="s">
        <v>14</v>
      </c>
      <c r="B3">
        <v>2</v>
      </c>
      <c r="C3">
        <v>100</v>
      </c>
      <c r="D3">
        <v>150</v>
      </c>
      <c r="E3" t="s">
        <v>2</v>
      </c>
      <c r="F3">
        <v>30</v>
      </c>
      <c r="G3" t="s">
        <v>1</v>
      </c>
      <c r="H3">
        <f>(D3-C3)*B3*F3*[1]Sheet1!$B$2</f>
        <v>6000</v>
      </c>
    </row>
    <row r="4" spans="1:8" x14ac:dyDescent="0.45">
      <c r="A4" t="s">
        <v>14</v>
      </c>
      <c r="B4">
        <v>2</v>
      </c>
      <c r="C4">
        <v>100</v>
      </c>
      <c r="D4">
        <v>150</v>
      </c>
      <c r="E4" t="s">
        <v>3</v>
      </c>
      <c r="F4">
        <v>15</v>
      </c>
      <c r="G4" t="s">
        <v>1</v>
      </c>
      <c r="H4">
        <f>(D4-C4)*B4*F4*[1]Sheet1!$B$2</f>
        <v>3000</v>
      </c>
    </row>
    <row r="5" spans="1:8" x14ac:dyDescent="0.45">
      <c r="A5" t="s">
        <v>14</v>
      </c>
      <c r="B5">
        <v>4</v>
      </c>
      <c r="C5">
        <v>200</v>
      </c>
      <c r="D5">
        <v>300</v>
      </c>
      <c r="E5" t="s">
        <v>0</v>
      </c>
      <c r="F5">
        <v>10</v>
      </c>
      <c r="G5" t="s">
        <v>1</v>
      </c>
      <c r="H5">
        <f>(D5-C5)*B5*F5*[1]Sheet1!$B$2</f>
        <v>8000</v>
      </c>
    </row>
    <row r="6" spans="1:8" x14ac:dyDescent="0.45">
      <c r="A6" t="s">
        <v>14</v>
      </c>
      <c r="B6">
        <v>4</v>
      </c>
      <c r="C6">
        <v>200</v>
      </c>
      <c r="D6">
        <v>300</v>
      </c>
      <c r="E6" t="s">
        <v>2</v>
      </c>
      <c r="F6">
        <v>20</v>
      </c>
      <c r="G6" t="s">
        <v>1</v>
      </c>
      <c r="H6">
        <f>(D6-C6)*B6*F6*[1]Sheet1!$B$2</f>
        <v>16000</v>
      </c>
    </row>
    <row r="7" spans="1:8" x14ac:dyDescent="0.45">
      <c r="A7" t="s">
        <v>14</v>
      </c>
      <c r="B7">
        <v>4</v>
      </c>
      <c r="C7">
        <v>200</v>
      </c>
      <c r="D7">
        <v>300</v>
      </c>
      <c r="E7" t="s">
        <v>3</v>
      </c>
      <c r="F7">
        <v>30</v>
      </c>
      <c r="G7" t="s">
        <v>1</v>
      </c>
      <c r="H7">
        <f>(D7-C7)*B7*F7*[1]Sheet1!$B$2</f>
        <v>24000</v>
      </c>
    </row>
    <row r="8" spans="1:8" x14ac:dyDescent="0.45">
      <c r="A8" t="s">
        <v>14</v>
      </c>
      <c r="B8">
        <v>4</v>
      </c>
      <c r="C8">
        <v>200</v>
      </c>
      <c r="D8">
        <v>300</v>
      </c>
      <c r="E8" t="s">
        <v>4</v>
      </c>
      <c r="F8">
        <v>40</v>
      </c>
      <c r="G8" t="s">
        <v>1</v>
      </c>
      <c r="H8">
        <f>(D8-C8)*B8*F8*[1]Sheet1!$B$2</f>
        <v>32000</v>
      </c>
    </row>
    <row r="9" spans="1:8" x14ac:dyDescent="0.45">
      <c r="A9" t="s">
        <v>15</v>
      </c>
      <c r="B9">
        <v>2</v>
      </c>
      <c r="C9">
        <v>150</v>
      </c>
      <c r="D9">
        <v>120</v>
      </c>
      <c r="E9" t="s">
        <v>0</v>
      </c>
      <c r="F9">
        <v>5</v>
      </c>
      <c r="G9" t="s">
        <v>1</v>
      </c>
      <c r="H9">
        <f>(D9-C9)*B9*F9*[1]Sheet1!$B$2</f>
        <v>-600</v>
      </c>
    </row>
    <row r="10" spans="1:8" x14ac:dyDescent="0.45">
      <c r="A10" t="s">
        <v>15</v>
      </c>
      <c r="B10">
        <v>2</v>
      </c>
      <c r="C10">
        <v>150</v>
      </c>
      <c r="D10">
        <v>120</v>
      </c>
      <c r="E10" t="s">
        <v>2</v>
      </c>
      <c r="F10">
        <v>25</v>
      </c>
      <c r="G10" t="s">
        <v>1</v>
      </c>
      <c r="H10">
        <f>(D10-C10)*B10*F10*[1]Sheet1!$B$2</f>
        <v>-3000</v>
      </c>
    </row>
    <row r="11" spans="1:8" x14ac:dyDescent="0.45">
      <c r="A11" t="s">
        <v>15</v>
      </c>
      <c r="B11">
        <v>2</v>
      </c>
      <c r="C11">
        <v>150</v>
      </c>
      <c r="D11">
        <v>120</v>
      </c>
      <c r="E11" t="s">
        <v>3</v>
      </c>
      <c r="F11">
        <v>15</v>
      </c>
      <c r="G11" t="s">
        <v>1</v>
      </c>
      <c r="H11">
        <f>(D11-C11)*B11*F11*[1]Sheet1!$B$2</f>
        <v>-1800</v>
      </c>
    </row>
    <row r="12" spans="1:8" x14ac:dyDescent="0.45">
      <c r="A12" t="s">
        <v>15</v>
      </c>
      <c r="B12">
        <v>4</v>
      </c>
      <c r="C12">
        <v>300</v>
      </c>
      <c r="D12">
        <v>240</v>
      </c>
      <c r="E12" t="s">
        <v>0</v>
      </c>
      <c r="F12">
        <v>20</v>
      </c>
      <c r="G12" t="s">
        <v>1</v>
      </c>
      <c r="H12">
        <f>(D12-C12)*B12*F12*[1]Sheet1!$B$2</f>
        <v>-9600</v>
      </c>
    </row>
    <row r="13" spans="1:8" x14ac:dyDescent="0.45">
      <c r="A13" t="s">
        <v>15</v>
      </c>
      <c r="B13">
        <v>4</v>
      </c>
      <c r="C13">
        <v>300</v>
      </c>
      <c r="D13">
        <v>240</v>
      </c>
      <c r="E13" t="s">
        <v>2</v>
      </c>
      <c r="F13">
        <v>10</v>
      </c>
      <c r="G13" t="s">
        <v>1</v>
      </c>
      <c r="H13">
        <f>(D13-C13)*B13*F13*[1]Sheet1!$B$2</f>
        <v>-4800</v>
      </c>
    </row>
    <row r="14" spans="1:8" x14ac:dyDescent="0.45">
      <c r="A14" t="s">
        <v>15</v>
      </c>
      <c r="B14">
        <v>4</v>
      </c>
      <c r="C14">
        <v>300</v>
      </c>
      <c r="D14">
        <v>240</v>
      </c>
      <c r="E14" t="s">
        <v>3</v>
      </c>
      <c r="F14">
        <v>5</v>
      </c>
      <c r="G14" t="s">
        <v>1</v>
      </c>
      <c r="H14">
        <f>(D14-C14)*B14*F14*[1]Sheet1!$B$2</f>
        <v>-2400</v>
      </c>
    </row>
    <row r="15" spans="1:8" x14ac:dyDescent="0.45">
      <c r="A15" t="s">
        <v>15</v>
      </c>
      <c r="B15">
        <v>4</v>
      </c>
      <c r="C15">
        <v>300</v>
      </c>
      <c r="D15">
        <v>240</v>
      </c>
      <c r="E15" t="s">
        <v>4</v>
      </c>
      <c r="F15">
        <v>25</v>
      </c>
      <c r="G15" t="s">
        <v>1</v>
      </c>
      <c r="H15">
        <f>(D15-C15)*B15*F15*[1]Sheet1!$B$2</f>
        <v>-12000</v>
      </c>
    </row>
    <row r="16" spans="1:8" x14ac:dyDescent="0.45">
      <c r="A16" t="s">
        <v>5</v>
      </c>
      <c r="B16">
        <v>2</v>
      </c>
      <c r="C16">
        <v>80</v>
      </c>
      <c r="D16">
        <v>160</v>
      </c>
      <c r="E16" t="s">
        <v>0</v>
      </c>
      <c r="F16">
        <v>35</v>
      </c>
      <c r="G16" t="s">
        <v>6</v>
      </c>
      <c r="H16">
        <f>(D16-C16)*B16*F16*[1]Sheet1!$B$2</f>
        <v>11200</v>
      </c>
    </row>
    <row r="17" spans="1:8" x14ac:dyDescent="0.45">
      <c r="A17" t="s">
        <v>5</v>
      </c>
      <c r="B17">
        <v>2</v>
      </c>
      <c r="C17">
        <v>80</v>
      </c>
      <c r="D17">
        <v>160</v>
      </c>
      <c r="E17" t="s">
        <v>2</v>
      </c>
      <c r="F17">
        <v>40</v>
      </c>
      <c r="G17" t="s">
        <v>6</v>
      </c>
      <c r="H17">
        <f>(D17-C17)*B17*F17*[1]Sheet1!$B$2</f>
        <v>12800</v>
      </c>
    </row>
    <row r="18" spans="1:8" x14ac:dyDescent="0.45">
      <c r="A18" t="s">
        <v>5</v>
      </c>
      <c r="B18">
        <v>2</v>
      </c>
      <c r="C18">
        <v>80</v>
      </c>
      <c r="D18">
        <v>160</v>
      </c>
      <c r="E18" t="s">
        <v>3</v>
      </c>
      <c r="F18">
        <v>20</v>
      </c>
      <c r="G18" t="s">
        <v>6</v>
      </c>
      <c r="H18">
        <f>(D18-C18)*B18*F18*[1]Sheet1!$B$2</f>
        <v>6400</v>
      </c>
    </row>
    <row r="19" spans="1:8" x14ac:dyDescent="0.45">
      <c r="A19" t="s">
        <v>5</v>
      </c>
      <c r="B19">
        <v>4</v>
      </c>
      <c r="C19">
        <v>160</v>
      </c>
      <c r="D19">
        <v>320</v>
      </c>
      <c r="E19" t="s">
        <v>0</v>
      </c>
      <c r="F19">
        <v>30</v>
      </c>
      <c r="G19" t="s">
        <v>6</v>
      </c>
      <c r="H19">
        <f>(D19-C19)*B19*F19*[1]Sheet1!$B$2</f>
        <v>38400</v>
      </c>
    </row>
    <row r="20" spans="1:8" x14ac:dyDescent="0.45">
      <c r="A20" t="s">
        <v>5</v>
      </c>
      <c r="B20">
        <v>4</v>
      </c>
      <c r="C20">
        <v>160</v>
      </c>
      <c r="D20">
        <v>320</v>
      </c>
      <c r="E20" t="s">
        <v>2</v>
      </c>
      <c r="F20">
        <v>40</v>
      </c>
      <c r="G20" t="s">
        <v>6</v>
      </c>
      <c r="H20">
        <f>(D20-C20)*B20*F20*[1]Sheet1!$B$2</f>
        <v>51200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5EE0-63A5-4F3C-9265-E4B07EEB057D}">
  <dimension ref="A1:O20"/>
  <sheetViews>
    <sheetView zoomScale="85" zoomScaleNormal="85" workbookViewId="0">
      <selection activeCell="K24" sqref="K24"/>
    </sheetView>
  </sheetViews>
  <sheetFormatPr defaultColWidth="10.86328125" defaultRowHeight="14.25" x14ac:dyDescent="0.45"/>
  <cols>
    <col min="2" max="2" width="13.73046875" bestFit="1" customWidth="1"/>
    <col min="3" max="3" width="13.73046875" customWidth="1"/>
    <col min="4" max="4" width="13.3984375" customWidth="1"/>
    <col min="5" max="5" width="12.86328125" customWidth="1"/>
    <col min="7" max="7" width="12" bestFit="1" customWidth="1"/>
    <col min="8" max="8" width="16.59765625" customWidth="1"/>
    <col min="9" max="9" width="15.59765625" customWidth="1"/>
    <col min="10" max="10" width="13.59765625" bestFit="1" customWidth="1"/>
    <col min="11" max="11" width="21.265625" customWidth="1"/>
    <col min="12" max="12" width="18.73046875" bestFit="1" customWidth="1"/>
    <col min="13" max="13" width="13.73046875" customWidth="1"/>
    <col min="15" max="15" width="18.1328125" customWidth="1"/>
  </cols>
  <sheetData>
    <row r="1" spans="1:15" x14ac:dyDescent="0.45">
      <c r="A1" s="9" t="s">
        <v>20</v>
      </c>
      <c r="B1" s="9" t="s">
        <v>8</v>
      </c>
      <c r="C1" s="9" t="s">
        <v>9</v>
      </c>
      <c r="D1" s="9" t="s">
        <v>10</v>
      </c>
      <c r="E1" s="9" t="s">
        <v>11</v>
      </c>
      <c r="F1" s="9" t="s">
        <v>12</v>
      </c>
      <c r="G1" s="9" t="s">
        <v>13</v>
      </c>
      <c r="H1" s="9" t="s">
        <v>33</v>
      </c>
      <c r="I1" s="9" t="s">
        <v>34</v>
      </c>
      <c r="J1" s="9" t="s">
        <v>35</v>
      </c>
      <c r="K1" s="9" t="s">
        <v>36</v>
      </c>
      <c r="M1" s="9" t="s">
        <v>16</v>
      </c>
      <c r="N1" s="9" t="s">
        <v>17</v>
      </c>
      <c r="O1" s="9" t="s">
        <v>19</v>
      </c>
    </row>
    <row r="2" spans="1:15" x14ac:dyDescent="0.45">
      <c r="A2" t="s">
        <v>14</v>
      </c>
      <c r="B2">
        <v>2</v>
      </c>
      <c r="C2">
        <v>100</v>
      </c>
      <c r="D2">
        <v>150</v>
      </c>
      <c r="E2" t="s">
        <v>0</v>
      </c>
      <c r="F2">
        <v>20</v>
      </c>
      <c r="G2" t="s">
        <v>1</v>
      </c>
      <c r="H2" s="11" cm="1">
        <f t="array" ref="H2:H20">weight*cost</f>
        <v>200</v>
      </c>
      <c r="I2" cm="1">
        <f t="array" ref="I2:I20">weight*price</f>
        <v>300</v>
      </c>
      <c r="J2" cm="1">
        <f t="array" ref="J2:J20">price_box-cost_box</f>
        <v>100</v>
      </c>
      <c r="K2">
        <f t="shared" ref="K2:K15" si="0">J2*F2*colon</f>
        <v>1428571.4285714286</v>
      </c>
      <c r="M2" t="s">
        <v>1</v>
      </c>
      <c r="N2" t="s">
        <v>7</v>
      </c>
      <c r="O2" s="10">
        <f>1/0.0014</f>
        <v>714.28571428571433</v>
      </c>
    </row>
    <row r="3" spans="1:15" x14ac:dyDescent="0.45">
      <c r="A3" t="s">
        <v>14</v>
      </c>
      <c r="B3">
        <v>2</v>
      </c>
      <c r="C3">
        <v>100</v>
      </c>
      <c r="D3">
        <v>150</v>
      </c>
      <c r="E3" t="s">
        <v>2</v>
      </c>
      <c r="F3">
        <v>30</v>
      </c>
      <c r="G3" t="s">
        <v>1</v>
      </c>
      <c r="H3" s="11">
        <v>200</v>
      </c>
      <c r="I3">
        <v>300</v>
      </c>
      <c r="J3">
        <v>100</v>
      </c>
      <c r="K3">
        <f t="shared" si="0"/>
        <v>2142857.1428571432</v>
      </c>
      <c r="M3" t="s">
        <v>6</v>
      </c>
      <c r="N3" t="s">
        <v>18</v>
      </c>
      <c r="O3" s="10">
        <f>1/0.012</f>
        <v>83.333333333333329</v>
      </c>
    </row>
    <row r="4" spans="1:15" x14ac:dyDescent="0.45">
      <c r="A4" t="s">
        <v>14</v>
      </c>
      <c r="B4">
        <v>2</v>
      </c>
      <c r="C4">
        <v>100</v>
      </c>
      <c r="D4">
        <v>150</v>
      </c>
      <c r="E4" t="s">
        <v>3</v>
      </c>
      <c r="F4">
        <v>15</v>
      </c>
      <c r="G4" t="s">
        <v>1</v>
      </c>
      <c r="H4" s="11">
        <v>200</v>
      </c>
      <c r="I4">
        <v>300</v>
      </c>
      <c r="J4">
        <v>100</v>
      </c>
      <c r="K4">
        <f t="shared" si="0"/>
        <v>1071428.5714285716</v>
      </c>
    </row>
    <row r="5" spans="1:15" x14ac:dyDescent="0.45">
      <c r="A5" t="s">
        <v>14</v>
      </c>
      <c r="B5">
        <v>4</v>
      </c>
      <c r="C5">
        <v>200</v>
      </c>
      <c r="D5">
        <v>300</v>
      </c>
      <c r="E5" t="s">
        <v>0</v>
      </c>
      <c r="F5">
        <v>10</v>
      </c>
      <c r="G5" t="s">
        <v>1</v>
      </c>
      <c r="H5" s="11">
        <v>800</v>
      </c>
      <c r="I5">
        <v>1200</v>
      </c>
      <c r="J5">
        <v>400</v>
      </c>
      <c r="K5">
        <f t="shared" si="0"/>
        <v>2857142.8571428573</v>
      </c>
    </row>
    <row r="6" spans="1:15" x14ac:dyDescent="0.45">
      <c r="A6" t="s">
        <v>14</v>
      </c>
      <c r="B6">
        <v>4</v>
      </c>
      <c r="C6">
        <v>200</v>
      </c>
      <c r="D6">
        <v>300</v>
      </c>
      <c r="E6" t="s">
        <v>2</v>
      </c>
      <c r="F6">
        <v>20</v>
      </c>
      <c r="G6" t="s">
        <v>1</v>
      </c>
      <c r="H6" s="11">
        <v>800</v>
      </c>
      <c r="I6">
        <v>1200</v>
      </c>
      <c r="J6">
        <v>400</v>
      </c>
      <c r="K6">
        <f t="shared" si="0"/>
        <v>5714285.7142857146</v>
      </c>
    </row>
    <row r="7" spans="1:15" x14ac:dyDescent="0.45">
      <c r="A7" t="s">
        <v>14</v>
      </c>
      <c r="B7">
        <v>4</v>
      </c>
      <c r="C7">
        <v>200</v>
      </c>
      <c r="D7">
        <v>300</v>
      </c>
      <c r="E7" t="s">
        <v>3</v>
      </c>
      <c r="F7">
        <v>30</v>
      </c>
      <c r="G7" t="s">
        <v>1</v>
      </c>
      <c r="H7" s="11">
        <v>800</v>
      </c>
      <c r="I7">
        <v>1200</v>
      </c>
      <c r="J7">
        <v>400</v>
      </c>
      <c r="K7">
        <f t="shared" si="0"/>
        <v>8571428.5714285728</v>
      </c>
    </row>
    <row r="8" spans="1:15" x14ac:dyDescent="0.45">
      <c r="A8" t="s">
        <v>14</v>
      </c>
      <c r="B8">
        <v>4</v>
      </c>
      <c r="C8">
        <v>200</v>
      </c>
      <c r="D8">
        <v>300</v>
      </c>
      <c r="E8" t="s">
        <v>4</v>
      </c>
      <c r="F8">
        <v>40</v>
      </c>
      <c r="G8" t="s">
        <v>1</v>
      </c>
      <c r="H8" s="11">
        <v>800</v>
      </c>
      <c r="I8">
        <v>1200</v>
      </c>
      <c r="J8">
        <v>400</v>
      </c>
      <c r="K8">
        <f t="shared" si="0"/>
        <v>11428571.428571429</v>
      </c>
    </row>
    <row r="9" spans="1:15" x14ac:dyDescent="0.45">
      <c r="A9" t="s">
        <v>15</v>
      </c>
      <c r="B9">
        <v>2</v>
      </c>
      <c r="C9">
        <v>150</v>
      </c>
      <c r="D9">
        <v>120</v>
      </c>
      <c r="E9" t="s">
        <v>0</v>
      </c>
      <c r="F9">
        <v>5</v>
      </c>
      <c r="G9" t="s">
        <v>1</v>
      </c>
      <c r="H9" s="11">
        <v>300</v>
      </c>
      <c r="I9">
        <v>240</v>
      </c>
      <c r="J9">
        <v>-60</v>
      </c>
      <c r="K9">
        <f t="shared" si="0"/>
        <v>-214285.71428571429</v>
      </c>
    </row>
    <row r="10" spans="1:15" x14ac:dyDescent="0.45">
      <c r="A10" t="s">
        <v>15</v>
      </c>
      <c r="B10">
        <v>2</v>
      </c>
      <c r="C10">
        <v>150</v>
      </c>
      <c r="D10">
        <v>120</v>
      </c>
      <c r="E10" t="s">
        <v>2</v>
      </c>
      <c r="F10">
        <v>25</v>
      </c>
      <c r="G10" t="s">
        <v>1</v>
      </c>
      <c r="H10" s="11">
        <v>300</v>
      </c>
      <c r="I10">
        <v>240</v>
      </c>
      <c r="J10">
        <v>-60</v>
      </c>
      <c r="K10">
        <f t="shared" si="0"/>
        <v>-1071428.5714285716</v>
      </c>
    </row>
    <row r="11" spans="1:15" x14ac:dyDescent="0.45">
      <c r="A11" t="s">
        <v>15</v>
      </c>
      <c r="B11">
        <v>2</v>
      </c>
      <c r="C11">
        <v>150</v>
      </c>
      <c r="D11">
        <v>120</v>
      </c>
      <c r="E11" t="s">
        <v>3</v>
      </c>
      <c r="F11">
        <v>15</v>
      </c>
      <c r="G11" t="s">
        <v>1</v>
      </c>
      <c r="H11" s="11">
        <v>300</v>
      </c>
      <c r="I11">
        <v>240</v>
      </c>
      <c r="J11">
        <v>-60</v>
      </c>
      <c r="K11">
        <f t="shared" si="0"/>
        <v>-642857.14285714296</v>
      </c>
    </row>
    <row r="12" spans="1:15" x14ac:dyDescent="0.45">
      <c r="A12" t="s">
        <v>15</v>
      </c>
      <c r="B12">
        <v>4</v>
      </c>
      <c r="C12">
        <v>300</v>
      </c>
      <c r="D12">
        <v>240</v>
      </c>
      <c r="E12" t="s">
        <v>0</v>
      </c>
      <c r="F12">
        <v>20</v>
      </c>
      <c r="G12" t="s">
        <v>1</v>
      </c>
      <c r="H12" s="11">
        <v>1200</v>
      </c>
      <c r="I12">
        <v>960</v>
      </c>
      <c r="J12">
        <v>-240</v>
      </c>
      <c r="K12">
        <f t="shared" si="0"/>
        <v>-3428571.4285714286</v>
      </c>
    </row>
    <row r="13" spans="1:15" x14ac:dyDescent="0.45">
      <c r="A13" t="s">
        <v>15</v>
      </c>
      <c r="B13">
        <v>4</v>
      </c>
      <c r="C13">
        <v>300</v>
      </c>
      <c r="D13">
        <v>240</v>
      </c>
      <c r="E13" t="s">
        <v>2</v>
      </c>
      <c r="F13">
        <v>10</v>
      </c>
      <c r="G13" t="s">
        <v>1</v>
      </c>
      <c r="H13" s="11">
        <v>1200</v>
      </c>
      <c r="I13">
        <v>960</v>
      </c>
      <c r="J13">
        <v>-240</v>
      </c>
      <c r="K13">
        <f t="shared" si="0"/>
        <v>-1714285.7142857143</v>
      </c>
    </row>
    <row r="14" spans="1:15" x14ac:dyDescent="0.45">
      <c r="A14" t="s">
        <v>15</v>
      </c>
      <c r="B14">
        <v>4</v>
      </c>
      <c r="C14">
        <v>300</v>
      </c>
      <c r="D14">
        <v>240</v>
      </c>
      <c r="E14" t="s">
        <v>3</v>
      </c>
      <c r="F14">
        <v>5</v>
      </c>
      <c r="G14" t="s">
        <v>1</v>
      </c>
      <c r="H14" s="11">
        <v>1200</v>
      </c>
      <c r="I14">
        <v>960</v>
      </c>
      <c r="J14">
        <v>-240</v>
      </c>
      <c r="K14">
        <f t="shared" si="0"/>
        <v>-857142.85714285716</v>
      </c>
    </row>
    <row r="15" spans="1:15" x14ac:dyDescent="0.45">
      <c r="A15" t="s">
        <v>15</v>
      </c>
      <c r="B15">
        <v>4</v>
      </c>
      <c r="C15">
        <v>300</v>
      </c>
      <c r="D15">
        <v>240</v>
      </c>
      <c r="E15" t="s">
        <v>4</v>
      </c>
      <c r="F15">
        <v>25</v>
      </c>
      <c r="G15" t="s">
        <v>1</v>
      </c>
      <c r="H15" s="11">
        <v>1200</v>
      </c>
      <c r="I15">
        <v>960</v>
      </c>
      <c r="J15">
        <v>-240</v>
      </c>
      <c r="K15">
        <f t="shared" si="0"/>
        <v>-4285714.2857142864</v>
      </c>
    </row>
    <row r="16" spans="1:15" x14ac:dyDescent="0.45">
      <c r="A16" t="s">
        <v>5</v>
      </c>
      <c r="B16">
        <v>2</v>
      </c>
      <c r="C16">
        <v>80</v>
      </c>
      <c r="D16">
        <v>160</v>
      </c>
      <c r="E16" t="s">
        <v>0</v>
      </c>
      <c r="F16">
        <v>35</v>
      </c>
      <c r="G16" t="s">
        <v>6</v>
      </c>
      <c r="H16" s="11">
        <v>160</v>
      </c>
      <c r="I16">
        <v>320</v>
      </c>
      <c r="J16">
        <v>160</v>
      </c>
      <c r="K16">
        <f>J16*F16*rupee</f>
        <v>466666.66666666663</v>
      </c>
    </row>
    <row r="17" spans="1:11" x14ac:dyDescent="0.45">
      <c r="A17" t="s">
        <v>5</v>
      </c>
      <c r="B17">
        <v>2</v>
      </c>
      <c r="C17">
        <v>80</v>
      </c>
      <c r="D17">
        <v>160</v>
      </c>
      <c r="E17" t="s">
        <v>2</v>
      </c>
      <c r="F17">
        <v>40</v>
      </c>
      <c r="G17" t="s">
        <v>6</v>
      </c>
      <c r="H17" s="11">
        <v>160</v>
      </c>
      <c r="I17">
        <v>320</v>
      </c>
      <c r="J17">
        <v>160</v>
      </c>
      <c r="K17">
        <f>J17*F17*rupee</f>
        <v>533333.33333333326</v>
      </c>
    </row>
    <row r="18" spans="1:11" x14ac:dyDescent="0.45">
      <c r="A18" t="s">
        <v>5</v>
      </c>
      <c r="B18">
        <v>2</v>
      </c>
      <c r="C18">
        <v>80</v>
      </c>
      <c r="D18">
        <v>160</v>
      </c>
      <c r="E18" t="s">
        <v>3</v>
      </c>
      <c r="F18">
        <v>20</v>
      </c>
      <c r="G18" t="s">
        <v>6</v>
      </c>
      <c r="H18" s="11">
        <v>160</v>
      </c>
      <c r="I18">
        <v>320</v>
      </c>
      <c r="J18">
        <v>160</v>
      </c>
      <c r="K18">
        <f>J18*F18*rupee</f>
        <v>266666.66666666663</v>
      </c>
    </row>
    <row r="19" spans="1:11" x14ac:dyDescent="0.45">
      <c r="A19" t="s">
        <v>5</v>
      </c>
      <c r="B19">
        <v>4</v>
      </c>
      <c r="C19">
        <v>160</v>
      </c>
      <c r="D19">
        <v>320</v>
      </c>
      <c r="E19" t="s">
        <v>0</v>
      </c>
      <c r="F19">
        <v>30</v>
      </c>
      <c r="G19" t="s">
        <v>6</v>
      </c>
      <c r="H19" s="11">
        <v>640</v>
      </c>
      <c r="I19">
        <v>1280</v>
      </c>
      <c r="J19">
        <v>640</v>
      </c>
      <c r="K19">
        <f>J19*F19*rupee</f>
        <v>1600000</v>
      </c>
    </row>
    <row r="20" spans="1:11" x14ac:dyDescent="0.45">
      <c r="A20" t="s">
        <v>5</v>
      </c>
      <c r="B20">
        <v>4</v>
      </c>
      <c r="C20">
        <v>160</v>
      </c>
      <c r="D20">
        <v>320</v>
      </c>
      <c r="E20" t="s">
        <v>2</v>
      </c>
      <c r="F20">
        <v>40</v>
      </c>
      <c r="G20" t="s">
        <v>6</v>
      </c>
      <c r="H20" s="11">
        <v>640</v>
      </c>
      <c r="I20">
        <v>1280</v>
      </c>
      <c r="J20">
        <v>640</v>
      </c>
      <c r="K20">
        <f>J20*F20*rupee</f>
        <v>2133333.333333333</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0C6B-074F-4C8F-AA99-4924931C7085}">
  <dimension ref="A1:L12"/>
  <sheetViews>
    <sheetView zoomScale="70" zoomScaleNormal="70" workbookViewId="0">
      <selection activeCell="I17" sqref="I17"/>
    </sheetView>
  </sheetViews>
  <sheetFormatPr defaultColWidth="9.1328125" defaultRowHeight="14.25" x14ac:dyDescent="0.45"/>
  <cols>
    <col min="1" max="1" width="12.73046875" bestFit="1" customWidth="1"/>
    <col min="2" max="2" width="10.265625" customWidth="1"/>
    <col min="3" max="12" width="14.3984375" customWidth="1"/>
    <col min="13" max="13" width="3.86328125" customWidth="1"/>
  </cols>
  <sheetData>
    <row r="1" spans="1:12" ht="38.25" customHeight="1" x14ac:dyDescent="0.45">
      <c r="C1" s="7" t="s">
        <v>21</v>
      </c>
      <c r="D1" s="2"/>
      <c r="E1" s="2"/>
      <c r="F1" s="2"/>
      <c r="G1" s="2"/>
      <c r="H1" s="2"/>
      <c r="I1" s="2"/>
      <c r="J1" s="2"/>
      <c r="K1" s="2"/>
      <c r="L1" s="2"/>
    </row>
    <row r="2" spans="1:12" s="3" customFormat="1" ht="24.75" customHeight="1" x14ac:dyDescent="0.45">
      <c r="A2" s="4" t="s">
        <v>27</v>
      </c>
      <c r="C2" s="5">
        <v>1</v>
      </c>
      <c r="D2" s="5">
        <v>2</v>
      </c>
      <c r="E2" s="5">
        <v>3</v>
      </c>
      <c r="F2" s="5">
        <v>4</v>
      </c>
      <c r="G2" s="5">
        <v>5</v>
      </c>
      <c r="H2" s="5">
        <v>6</v>
      </c>
      <c r="I2" s="5">
        <v>7</v>
      </c>
      <c r="J2" s="5">
        <v>8</v>
      </c>
      <c r="K2" s="5">
        <v>9</v>
      </c>
      <c r="L2" s="5">
        <v>10</v>
      </c>
    </row>
    <row r="3" spans="1:12" ht="45" customHeight="1" x14ac:dyDescent="0.65">
      <c r="A3" s="1"/>
      <c r="B3" s="6">
        <v>1</v>
      </c>
      <c r="C3" s="8" cm="1">
        <f t="array" ref="C3:L12">column*row</f>
        <v>1</v>
      </c>
      <c r="D3" s="8">
        <v>2</v>
      </c>
      <c r="E3" s="8">
        <v>3</v>
      </c>
      <c r="F3" s="8">
        <v>4</v>
      </c>
      <c r="G3" s="8">
        <v>5</v>
      </c>
      <c r="H3" s="8">
        <v>6</v>
      </c>
      <c r="I3" s="8">
        <v>7</v>
      </c>
      <c r="J3" s="8">
        <v>8</v>
      </c>
      <c r="K3" s="8">
        <v>9</v>
      </c>
      <c r="L3" s="8">
        <v>10</v>
      </c>
    </row>
    <row r="4" spans="1:12" ht="45" customHeight="1" x14ac:dyDescent="0.65">
      <c r="A4" s="1"/>
      <c r="B4" s="6">
        <v>2</v>
      </c>
      <c r="C4" s="8">
        <v>2</v>
      </c>
      <c r="D4" s="8">
        <v>4</v>
      </c>
      <c r="E4" s="8">
        <v>6</v>
      </c>
      <c r="F4" s="8">
        <v>8</v>
      </c>
      <c r="G4" s="8">
        <v>10</v>
      </c>
      <c r="H4" s="8">
        <v>12</v>
      </c>
      <c r="I4" s="8">
        <v>14</v>
      </c>
      <c r="J4" s="8">
        <v>16</v>
      </c>
      <c r="K4" s="8">
        <v>18</v>
      </c>
      <c r="L4" s="8">
        <v>20</v>
      </c>
    </row>
    <row r="5" spans="1:12" ht="45" customHeight="1" x14ac:dyDescent="0.65">
      <c r="A5" s="1"/>
      <c r="B5" s="6">
        <v>3</v>
      </c>
      <c r="C5" s="8">
        <v>3</v>
      </c>
      <c r="D5" s="8">
        <v>6</v>
      </c>
      <c r="E5" s="8">
        <v>9</v>
      </c>
      <c r="F5" s="8">
        <v>12</v>
      </c>
      <c r="G5" s="8">
        <v>15</v>
      </c>
      <c r="H5" s="8">
        <v>18</v>
      </c>
      <c r="I5" s="8">
        <v>21</v>
      </c>
      <c r="J5" s="8">
        <v>24</v>
      </c>
      <c r="K5" s="8">
        <v>27</v>
      </c>
      <c r="L5" s="8">
        <v>30</v>
      </c>
    </row>
    <row r="6" spans="1:12" ht="45" customHeight="1" x14ac:dyDescent="0.65">
      <c r="A6" s="1"/>
      <c r="B6" s="6">
        <v>4</v>
      </c>
      <c r="C6" s="8">
        <v>4</v>
      </c>
      <c r="D6" s="8">
        <v>8</v>
      </c>
      <c r="E6" s="8">
        <v>12</v>
      </c>
      <c r="F6" s="8">
        <v>16</v>
      </c>
      <c r="G6" s="8">
        <v>20</v>
      </c>
      <c r="H6" s="8">
        <v>24</v>
      </c>
      <c r="I6" s="8">
        <v>28</v>
      </c>
      <c r="J6" s="8">
        <v>32</v>
      </c>
      <c r="K6" s="8">
        <v>36</v>
      </c>
      <c r="L6" s="8">
        <v>40</v>
      </c>
    </row>
    <row r="7" spans="1:12" ht="45" customHeight="1" x14ac:dyDescent="0.65">
      <c r="A7" s="1"/>
      <c r="B7" s="6">
        <v>5</v>
      </c>
      <c r="C7" s="8">
        <v>5</v>
      </c>
      <c r="D7" s="8">
        <v>10</v>
      </c>
      <c r="E7" s="8">
        <v>15</v>
      </c>
      <c r="F7" s="8">
        <v>20</v>
      </c>
      <c r="G7" s="8">
        <v>25</v>
      </c>
      <c r="H7" s="8">
        <v>30</v>
      </c>
      <c r="I7" s="8">
        <v>35</v>
      </c>
      <c r="J7" s="8">
        <v>40</v>
      </c>
      <c r="K7" s="8">
        <v>45</v>
      </c>
      <c r="L7" s="8">
        <v>50</v>
      </c>
    </row>
    <row r="8" spans="1:12" ht="45" customHeight="1" x14ac:dyDescent="0.65">
      <c r="A8" s="1"/>
      <c r="B8" s="6">
        <v>6</v>
      </c>
      <c r="C8" s="8">
        <v>6</v>
      </c>
      <c r="D8" s="8">
        <v>12</v>
      </c>
      <c r="E8" s="8">
        <v>18</v>
      </c>
      <c r="F8" s="8">
        <v>24</v>
      </c>
      <c r="G8" s="8">
        <v>30</v>
      </c>
      <c r="H8" s="8">
        <v>36</v>
      </c>
      <c r="I8" s="8">
        <v>42</v>
      </c>
      <c r="J8" s="8">
        <v>48</v>
      </c>
      <c r="K8" s="8">
        <v>54</v>
      </c>
      <c r="L8" s="8">
        <v>60</v>
      </c>
    </row>
    <row r="9" spans="1:12" ht="45" customHeight="1" x14ac:dyDescent="0.65">
      <c r="A9" s="1"/>
      <c r="B9" s="6">
        <v>7</v>
      </c>
      <c r="C9" s="8">
        <v>7</v>
      </c>
      <c r="D9" s="8">
        <v>14</v>
      </c>
      <c r="E9" s="8">
        <v>21</v>
      </c>
      <c r="F9" s="8">
        <v>28</v>
      </c>
      <c r="G9" s="8">
        <v>35</v>
      </c>
      <c r="H9" s="8">
        <v>42</v>
      </c>
      <c r="I9" s="8">
        <v>49</v>
      </c>
      <c r="J9" s="8">
        <v>56</v>
      </c>
      <c r="K9" s="8">
        <v>63</v>
      </c>
      <c r="L9" s="8">
        <v>70</v>
      </c>
    </row>
    <row r="10" spans="1:12" ht="45" customHeight="1" x14ac:dyDescent="0.65">
      <c r="A10" s="1"/>
      <c r="B10" s="6">
        <v>8</v>
      </c>
      <c r="C10" s="8">
        <v>8</v>
      </c>
      <c r="D10" s="8">
        <v>16</v>
      </c>
      <c r="E10" s="8">
        <v>24</v>
      </c>
      <c r="F10" s="8">
        <v>32</v>
      </c>
      <c r="G10" s="8">
        <v>40</v>
      </c>
      <c r="H10" s="8">
        <v>48</v>
      </c>
      <c r="I10" s="8">
        <v>56</v>
      </c>
      <c r="J10" s="8">
        <v>64</v>
      </c>
      <c r="K10" s="8">
        <v>72</v>
      </c>
      <c r="L10" s="8">
        <v>80</v>
      </c>
    </row>
    <row r="11" spans="1:12" ht="45" customHeight="1" x14ac:dyDescent="0.65">
      <c r="A11" s="1"/>
      <c r="B11" s="6">
        <v>9</v>
      </c>
      <c r="C11" s="8">
        <v>9</v>
      </c>
      <c r="D11" s="8">
        <v>18</v>
      </c>
      <c r="E11" s="8">
        <v>27</v>
      </c>
      <c r="F11" s="8">
        <v>36</v>
      </c>
      <c r="G11" s="8">
        <v>45</v>
      </c>
      <c r="H11" s="8">
        <v>54</v>
      </c>
      <c r="I11" s="8">
        <v>63</v>
      </c>
      <c r="J11" s="8">
        <v>72</v>
      </c>
      <c r="K11" s="8">
        <v>81</v>
      </c>
      <c r="L11" s="8">
        <v>90</v>
      </c>
    </row>
    <row r="12" spans="1:12" ht="45" customHeight="1" x14ac:dyDescent="0.65">
      <c r="A12" s="1"/>
      <c r="B12" s="6">
        <v>10</v>
      </c>
      <c r="C12" s="8">
        <v>10</v>
      </c>
      <c r="D12" s="8">
        <v>20</v>
      </c>
      <c r="E12" s="8">
        <v>30</v>
      </c>
      <c r="F12" s="8">
        <v>40</v>
      </c>
      <c r="G12" s="8">
        <v>50</v>
      </c>
      <c r="H12" s="8">
        <v>60</v>
      </c>
      <c r="I12" s="8">
        <v>70</v>
      </c>
      <c r="J12" s="8">
        <v>80</v>
      </c>
      <c r="K12" s="8">
        <v>90</v>
      </c>
      <c r="L12" s="8">
        <v>100</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AAA4-7AD0-45EF-BC72-638547CCE971}">
  <dimension ref="A1:N20"/>
  <sheetViews>
    <sheetView zoomScale="85" zoomScaleNormal="85" workbookViewId="0">
      <selection activeCell="H1" sqref="H1"/>
    </sheetView>
  </sheetViews>
  <sheetFormatPr defaultColWidth="10.86328125" defaultRowHeight="14.25" x14ac:dyDescent="0.45"/>
  <cols>
    <col min="2" max="2" width="7.3984375" customWidth="1"/>
    <col min="3" max="3" width="5.86328125" customWidth="1"/>
    <col min="7" max="7" width="12" bestFit="1" customWidth="1"/>
    <col min="11" max="11" width="18.73046875" bestFit="1" customWidth="1"/>
    <col min="12" max="12" width="13.73046875" customWidth="1"/>
    <col min="14" max="14" width="18.1328125" customWidth="1"/>
  </cols>
  <sheetData>
    <row r="1" spans="1:14" x14ac:dyDescent="0.45">
      <c r="A1" s="9" t="s">
        <v>20</v>
      </c>
      <c r="B1" s="9" t="s">
        <v>8</v>
      </c>
      <c r="C1" s="9" t="s">
        <v>9</v>
      </c>
      <c r="D1" s="9" t="s">
        <v>10</v>
      </c>
      <c r="E1" s="9" t="s">
        <v>11</v>
      </c>
      <c r="F1" s="9" t="s">
        <v>12</v>
      </c>
      <c r="G1" s="9" t="s">
        <v>13</v>
      </c>
      <c r="L1" s="9" t="s">
        <v>16</v>
      </c>
      <c r="M1" s="9" t="s">
        <v>17</v>
      </c>
      <c r="N1" s="9" t="s">
        <v>19</v>
      </c>
    </row>
    <row r="2" spans="1:14" x14ac:dyDescent="0.45">
      <c r="A2" t="s">
        <v>14</v>
      </c>
      <c r="B2">
        <v>2</v>
      </c>
      <c r="C2">
        <v>100</v>
      </c>
      <c r="D2">
        <v>150</v>
      </c>
      <c r="E2" t="s">
        <v>0</v>
      </c>
      <c r="F2">
        <v>20</v>
      </c>
      <c r="G2" t="s">
        <v>1</v>
      </c>
      <c r="L2" t="s">
        <v>1</v>
      </c>
      <c r="M2" t="s">
        <v>7</v>
      </c>
      <c r="N2" s="10">
        <f>1/0.0014</f>
        <v>714.28571428571433</v>
      </c>
    </row>
    <row r="3" spans="1:14" x14ac:dyDescent="0.45">
      <c r="A3" t="s">
        <v>14</v>
      </c>
      <c r="B3">
        <v>2</v>
      </c>
      <c r="C3">
        <v>100</v>
      </c>
      <c r="D3">
        <v>150</v>
      </c>
      <c r="E3" t="s">
        <v>2</v>
      </c>
      <c r="F3">
        <v>30</v>
      </c>
      <c r="G3" t="s">
        <v>1</v>
      </c>
      <c r="L3" t="s">
        <v>6</v>
      </c>
      <c r="M3" t="s">
        <v>18</v>
      </c>
      <c r="N3" s="10">
        <f>1/0.012</f>
        <v>83.333333333333329</v>
      </c>
    </row>
    <row r="4" spans="1:14" x14ac:dyDescent="0.45">
      <c r="A4" t="s">
        <v>14</v>
      </c>
      <c r="B4">
        <v>2</v>
      </c>
      <c r="C4">
        <v>100</v>
      </c>
      <c r="D4">
        <v>150</v>
      </c>
      <c r="E4" t="s">
        <v>3</v>
      </c>
      <c r="F4">
        <v>15</v>
      </c>
      <c r="G4" t="s">
        <v>1</v>
      </c>
    </row>
    <row r="5" spans="1:14" x14ac:dyDescent="0.45">
      <c r="A5" t="s">
        <v>14</v>
      </c>
      <c r="B5">
        <v>4</v>
      </c>
      <c r="C5">
        <v>200</v>
      </c>
      <c r="D5">
        <v>300</v>
      </c>
      <c r="E5" t="s">
        <v>0</v>
      </c>
      <c r="F5">
        <v>10</v>
      </c>
      <c r="G5" t="s">
        <v>1</v>
      </c>
    </row>
    <row r="6" spans="1:14" x14ac:dyDescent="0.45">
      <c r="A6" t="s">
        <v>14</v>
      </c>
      <c r="B6">
        <v>4</v>
      </c>
      <c r="C6">
        <v>200</v>
      </c>
      <c r="D6">
        <v>300</v>
      </c>
      <c r="E6" t="s">
        <v>2</v>
      </c>
      <c r="F6">
        <v>20</v>
      </c>
      <c r="G6" t="s">
        <v>1</v>
      </c>
    </row>
    <row r="7" spans="1:14" x14ac:dyDescent="0.45">
      <c r="A7" t="s">
        <v>14</v>
      </c>
      <c r="B7">
        <v>4</v>
      </c>
      <c r="C7">
        <v>200</v>
      </c>
      <c r="D7">
        <v>300</v>
      </c>
      <c r="E7" t="s">
        <v>3</v>
      </c>
      <c r="F7">
        <v>30</v>
      </c>
      <c r="G7" t="s">
        <v>1</v>
      </c>
    </row>
    <row r="8" spans="1:14" x14ac:dyDescent="0.45">
      <c r="A8" t="s">
        <v>14</v>
      </c>
      <c r="B8">
        <v>4</v>
      </c>
      <c r="C8">
        <v>200</v>
      </c>
      <c r="D8">
        <v>300</v>
      </c>
      <c r="E8" t="s">
        <v>4</v>
      </c>
      <c r="F8">
        <v>40</v>
      </c>
      <c r="G8" t="s">
        <v>1</v>
      </c>
    </row>
    <row r="9" spans="1:14" x14ac:dyDescent="0.45">
      <c r="A9" t="s">
        <v>15</v>
      </c>
      <c r="B9">
        <v>2</v>
      </c>
      <c r="C9">
        <v>150</v>
      </c>
      <c r="D9">
        <v>120</v>
      </c>
      <c r="E9" t="s">
        <v>0</v>
      </c>
      <c r="F9">
        <v>5</v>
      </c>
      <c r="G9" t="s">
        <v>1</v>
      </c>
    </row>
    <row r="10" spans="1:14" x14ac:dyDescent="0.45">
      <c r="A10" t="s">
        <v>15</v>
      </c>
      <c r="B10">
        <v>2</v>
      </c>
      <c r="C10">
        <v>150</v>
      </c>
      <c r="D10">
        <v>120</v>
      </c>
      <c r="E10" t="s">
        <v>2</v>
      </c>
      <c r="F10">
        <v>25</v>
      </c>
      <c r="G10" t="s">
        <v>1</v>
      </c>
    </row>
    <row r="11" spans="1:14" x14ac:dyDescent="0.45">
      <c r="A11" t="s">
        <v>15</v>
      </c>
      <c r="B11">
        <v>2</v>
      </c>
      <c r="C11">
        <v>150</v>
      </c>
      <c r="D11">
        <v>120</v>
      </c>
      <c r="E11" t="s">
        <v>3</v>
      </c>
      <c r="F11">
        <v>15</v>
      </c>
      <c r="G11" t="s">
        <v>1</v>
      </c>
    </row>
    <row r="12" spans="1:14" x14ac:dyDescent="0.45">
      <c r="A12" t="s">
        <v>15</v>
      </c>
      <c r="B12">
        <v>4</v>
      </c>
      <c r="C12">
        <v>300</v>
      </c>
      <c r="D12">
        <v>240</v>
      </c>
      <c r="E12" t="s">
        <v>0</v>
      </c>
      <c r="F12">
        <v>20</v>
      </c>
      <c r="G12" t="s">
        <v>1</v>
      </c>
    </row>
    <row r="13" spans="1:14" x14ac:dyDescent="0.45">
      <c r="A13" t="s">
        <v>15</v>
      </c>
      <c r="B13">
        <v>4</v>
      </c>
      <c r="C13">
        <v>300</v>
      </c>
      <c r="D13">
        <v>240</v>
      </c>
      <c r="E13" t="s">
        <v>2</v>
      </c>
      <c r="F13">
        <v>10</v>
      </c>
      <c r="G13" t="s">
        <v>1</v>
      </c>
    </row>
    <row r="14" spans="1:14" x14ac:dyDescent="0.45">
      <c r="A14" t="s">
        <v>15</v>
      </c>
      <c r="B14">
        <v>4</v>
      </c>
      <c r="C14">
        <v>300</v>
      </c>
      <c r="D14">
        <v>240</v>
      </c>
      <c r="E14" t="s">
        <v>3</v>
      </c>
      <c r="F14">
        <v>5</v>
      </c>
      <c r="G14" t="s">
        <v>1</v>
      </c>
    </row>
    <row r="15" spans="1:14" x14ac:dyDescent="0.45">
      <c r="A15" t="s">
        <v>15</v>
      </c>
      <c r="B15">
        <v>4</v>
      </c>
      <c r="C15">
        <v>300</v>
      </c>
      <c r="D15">
        <v>240</v>
      </c>
      <c r="E15" t="s">
        <v>4</v>
      </c>
      <c r="F15">
        <v>25</v>
      </c>
      <c r="G15" t="s">
        <v>1</v>
      </c>
    </row>
    <row r="16" spans="1:14" x14ac:dyDescent="0.45">
      <c r="A16" t="s">
        <v>5</v>
      </c>
      <c r="B16">
        <v>2</v>
      </c>
      <c r="C16">
        <v>80</v>
      </c>
      <c r="D16">
        <v>160</v>
      </c>
      <c r="E16" t="s">
        <v>0</v>
      </c>
      <c r="F16">
        <v>35</v>
      </c>
      <c r="G16" t="s">
        <v>6</v>
      </c>
    </row>
    <row r="17" spans="1:7" x14ac:dyDescent="0.45">
      <c r="A17" t="s">
        <v>5</v>
      </c>
      <c r="B17">
        <v>2</v>
      </c>
      <c r="C17">
        <v>80</v>
      </c>
      <c r="D17">
        <v>160</v>
      </c>
      <c r="E17" t="s">
        <v>2</v>
      </c>
      <c r="F17">
        <v>40</v>
      </c>
      <c r="G17" t="s">
        <v>6</v>
      </c>
    </row>
    <row r="18" spans="1:7" x14ac:dyDescent="0.45">
      <c r="A18" t="s">
        <v>5</v>
      </c>
      <c r="B18">
        <v>2</v>
      </c>
      <c r="C18">
        <v>80</v>
      </c>
      <c r="D18">
        <v>160</v>
      </c>
      <c r="E18" t="s">
        <v>3</v>
      </c>
      <c r="F18">
        <v>20</v>
      </c>
      <c r="G18" t="s">
        <v>6</v>
      </c>
    </row>
    <row r="19" spans="1:7" x14ac:dyDescent="0.45">
      <c r="A19" t="s">
        <v>5</v>
      </c>
      <c r="B19">
        <v>4</v>
      </c>
      <c r="C19">
        <v>160</v>
      </c>
      <c r="D19">
        <v>320</v>
      </c>
      <c r="E19" t="s">
        <v>0</v>
      </c>
      <c r="F19">
        <v>30</v>
      </c>
      <c r="G19" t="s">
        <v>6</v>
      </c>
    </row>
    <row r="20" spans="1:7" x14ac:dyDescent="0.45">
      <c r="A20" t="s">
        <v>5</v>
      </c>
      <c r="B20">
        <v>4</v>
      </c>
      <c r="C20">
        <v>160</v>
      </c>
      <c r="D20">
        <v>320</v>
      </c>
      <c r="E20" t="s">
        <v>2</v>
      </c>
      <c r="F20">
        <v>40</v>
      </c>
      <c r="G20" t="s">
        <v>6</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Absolute and relative reference</vt:lpstr>
      <vt:lpstr>Mixed references</vt:lpstr>
      <vt:lpstr>References 2D</vt:lpstr>
      <vt:lpstr>References 3D 1 </vt:lpstr>
      <vt:lpstr>References 3D 2</vt:lpstr>
      <vt:lpstr>Names</vt:lpstr>
      <vt:lpstr>Mixed references 2</vt:lpstr>
      <vt:lpstr>Tables references</vt:lpstr>
      <vt:lpstr>colon</vt:lpstr>
      <vt:lpstr>column</vt:lpstr>
      <vt:lpstr>cost</vt:lpstr>
      <vt:lpstr>cost_box</vt:lpstr>
      <vt:lpstr>price</vt:lpstr>
      <vt:lpstr>price_box</vt:lpstr>
      <vt:lpstr>profit_box</vt:lpstr>
      <vt:lpstr>quantity</vt:lpstr>
      <vt:lpstr>row</vt:lpstr>
      <vt:lpstr>rupee</vt:lpstr>
      <vt:lpstr>weight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Velasco López, Miguel</dc:creator>
  <cp:lastModifiedBy>Guada Azze, Abel</cp:lastModifiedBy>
  <dcterms:created xsi:type="dcterms:W3CDTF">2021-11-08T14:38:34Z</dcterms:created>
  <dcterms:modified xsi:type="dcterms:W3CDTF">2025-10-13T12:19:08Z</dcterms:modified>
</cp:coreProperties>
</file>