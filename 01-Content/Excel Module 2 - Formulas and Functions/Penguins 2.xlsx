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Excel Module 2 - Formulas and Functions/"/>
    </mc:Choice>
  </mc:AlternateContent>
  <xr:revisionPtr revIDLastSave="763" documentId="13_ncr:1_{EE53406B-E41F-489C-A296-20B4963F4214}" xr6:coauthVersionLast="47" xr6:coauthVersionMax="47" xr10:uidLastSave="{48F78566-27EF-425E-AEE9-96C246F2EF1D}"/>
  <bookViews>
    <workbookView xWindow="-98" yWindow="-98" windowWidth="21795" windowHeight="12975" firstSheet="3" activeTab="3" xr2:uid="{00000000-000D-0000-FFFF-FFFF00000000}"/>
  </bookViews>
  <sheets>
    <sheet name="Penguins data" sheetId="1" r:id="rId1"/>
    <sheet name="Penguins data as table" sheetId="7" r:id="rId2"/>
    <sheet name="Penguins data with names" sheetId="8" r:id="rId3"/>
    <sheet name="2D references" sheetId="2" r:id="rId4"/>
    <sheet name="Plugin of data analysis" sheetId="3" r:id="rId5"/>
    <sheet name="IFS 1" sheetId="5" r:id="rId6"/>
    <sheet name="IFS 2" sheetId="6" r:id="rId7"/>
    <sheet name="addin result" sheetId="9" r:id="rId8"/>
  </sheets>
  <definedNames>
    <definedName name="_xlnm._FilterDatabase" localSheetId="0" hidden="1">'Penguins data'!$A$1:$G$343</definedName>
    <definedName name="_xlnm._FilterDatabase" localSheetId="1" hidden="1">'Penguins data as table'!$A$1:$G$343</definedName>
    <definedName name="_xlnm._FilterDatabase" localSheetId="2" hidden="1">'Penguins data with names'!$A$1:$G$343</definedName>
    <definedName name="culmen_length_mm">'Penguins data with names'!$C$2:$C$343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" i="5" l="1"/>
  <c r="K11" i="5"/>
  <c r="K10" i="5"/>
  <c r="K9" i="5"/>
  <c r="K8" i="5"/>
  <c r="K2" i="8"/>
  <c r="M2" i="7"/>
  <c r="N2" i="7"/>
  <c r="L2" i="7"/>
  <c r="K2" i="7"/>
</calcChain>
</file>

<file path=xl/sharedStrings.xml><?xml version="1.0" encoding="utf-8"?>
<sst xmlns="http://schemas.openxmlformats.org/spreadsheetml/2006/main" count="5389" uniqueCount="41">
  <si>
    <t>Adelie</t>
  </si>
  <si>
    <t>Torgersen</t>
  </si>
  <si>
    <t>MALE</t>
  </si>
  <si>
    <t>FEMALE</t>
  </si>
  <si>
    <t>Biscoe</t>
  </si>
  <si>
    <t>Dream</t>
  </si>
  <si>
    <t>Chinstrap</t>
  </si>
  <si>
    <t>Gentoo</t>
  </si>
  <si>
    <t>MAX</t>
  </si>
  <si>
    <t>MIN</t>
  </si>
  <si>
    <t>Species</t>
  </si>
  <si>
    <t>Island</t>
  </si>
  <si>
    <t>culmen_length_mm</t>
  </si>
  <si>
    <t>height_width_mm</t>
  </si>
  <si>
    <t>weight in grams</t>
  </si>
  <si>
    <t>sex</t>
  </si>
  <si>
    <t>Flipper_length_mm</t>
  </si>
  <si>
    <t>AVERAGE</t>
  </si>
  <si>
    <t>MEDIAN</t>
  </si>
  <si>
    <t>QUARTILE 1</t>
  </si>
  <si>
    <t>QUARTILE 2</t>
  </si>
  <si>
    <t>QUARTILE 3</t>
  </si>
  <si>
    <t>PERCENTILE 90</t>
  </si>
  <si>
    <t>PERCENTILE 10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</si>
  <si>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</si>
  <si>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</si>
  <si>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</si>
  <si>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</si>
  <si>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</si>
  <si>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</si>
  <si>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</si>
  <si>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</si>
  <si>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</si>
  <si>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</si>
  <si>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</si>
  <si>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</si>
  <si>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</si>
  <si>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MODE.SNGL</t>
  </si>
  <si>
    <t>STDEV.S</t>
  </si>
  <si>
    <t>PERCENTILE 5</t>
  </si>
  <si>
    <t>PERCENTILE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</si>
</sst>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_);_(* \(#,##0.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5" fontId="0" fillId="0" borderId="0" xfId="1" applyNumberFormat="1" applyFont="1"/>
    <xf numFmtId="0" fontId="18" fillId="0" borderId="0" xfId="0" applyFont="1"/>
    <xf numFmtId="0" fontId="0" fillId="0" borderId="0" xfId="0" applyAlignment="1">
      <alignment vertical="center"/>
    </xf>
    <xf numFmtId="165" fontId="0" fillId="0" borderId="0" xfId="1" applyNumberFormat="1" applyFont="1" applyAlignment="1">
      <alignment vertical="center"/>
    </xf>
    <xf numFmtId="164" fontId="0" fillId="0" borderId="0" xfId="1" applyFont="1"/>
    <xf numFmtId="165" fontId="0" fillId="0" borderId="0" xfId="0" applyNumberFormat="1"/>
    <xf numFmtId="0" fontId="0" fillId="0" borderId="10" xfId="0" applyBorder="1"/>
    <xf numFmtId="0" fontId="20" fillId="0" borderId="11" xfId="0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676275</xdr:colOff>
      <xdr:row>15</xdr:row>
      <xdr:rowOff>47625</xdr:rowOff>
    </xdr:from>
    <xdr:ext cx="3014030" cy="2596865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88D9481-FE32-4848-A27D-0FBA957C0EC1}"/>
            </a:ext>
          </a:extLst>
        </xdr:cNvPr>
        <xdr:cNvSpPr txBox="1"/>
      </xdr:nvSpPr>
      <xdr:spPr>
        <a:xfrm>
          <a:off x="10294083" y="2831856"/>
          <a:ext cx="3014030" cy="259686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/>
            <a:t>Calculate for all numeric columns:</a:t>
          </a:r>
          <a:endParaRPr lang="es-ES" sz="1600" baseline="0"/>
        </a:p>
        <a:p>
          <a:endParaRPr lang="es-ES" sz="1600"/>
        </a:p>
        <a:p>
          <a:r>
            <a:rPr lang="es-ES" sz="1600" baseline="0"/>
            <a:t>AVERAGE</a:t>
          </a:r>
        </a:p>
        <a:p>
          <a:r>
            <a:rPr lang="es-ES" sz="1600" baseline="0"/>
            <a:t>MAX</a:t>
          </a:r>
        </a:p>
        <a:p>
          <a:r>
            <a:rPr lang="es-ES" sz="1600" baseline="0"/>
            <a:t>MIN</a:t>
          </a:r>
        </a:p>
        <a:p>
          <a:r>
            <a:rPr lang="es-ES" sz="1600" baseline="0"/>
            <a:t>MEDIAN</a:t>
          </a:r>
        </a:p>
        <a:p>
          <a:r>
            <a:rPr lang="es-ES" sz="1600" baseline="0"/>
            <a:t>MODE</a:t>
          </a:r>
        </a:p>
        <a:p>
          <a:r>
            <a:rPr lang="es-ES" sz="1600" baseline="0"/>
            <a:t>STANDARD DEVIATION</a:t>
          </a:r>
        </a:p>
        <a:p>
          <a:r>
            <a:rPr lang="es-ES" sz="1600" baseline="0"/>
            <a:t>QUARTILES</a:t>
          </a:r>
        </a:p>
        <a:p>
          <a:r>
            <a:rPr lang="es-ES" sz="1600" baseline="0"/>
            <a:t>PERCENTILE 90 and 10</a:t>
          </a:r>
          <a:endParaRPr lang="es-ES" sz="16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676275</xdr:colOff>
      <xdr:row>15</xdr:row>
      <xdr:rowOff>47625</xdr:rowOff>
    </xdr:from>
    <xdr:ext cx="3014030" cy="2847318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72AAC8E-20AA-4674-B443-D12D7B875C90}"/>
            </a:ext>
          </a:extLst>
        </xdr:cNvPr>
        <xdr:cNvSpPr txBox="1"/>
      </xdr:nvSpPr>
      <xdr:spPr>
        <a:xfrm>
          <a:off x="10296525" y="2809875"/>
          <a:ext cx="3014030" cy="284731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/>
            <a:t>Create a table with the data</a:t>
          </a:r>
        </a:p>
        <a:p>
          <a:r>
            <a:rPr lang="es-ES" sz="1600"/>
            <a:t>Calculate for all numeric columns:</a:t>
          </a:r>
        </a:p>
        <a:p>
          <a:endParaRPr lang="es-ES" sz="1600"/>
        </a:p>
        <a:p>
          <a:r>
            <a:rPr lang="es-ES" sz="1600"/>
            <a:t>AVERAGE</a:t>
          </a:r>
        </a:p>
        <a:p>
          <a:r>
            <a:rPr lang="es-ES" sz="1600"/>
            <a:t>MAX</a:t>
          </a:r>
        </a:p>
        <a:p>
          <a:r>
            <a:rPr lang="es-ES" sz="1600"/>
            <a:t>MIN</a:t>
          </a:r>
        </a:p>
        <a:p>
          <a:r>
            <a:rPr lang="es-ES" sz="1600"/>
            <a:t>MEDIAN</a:t>
          </a:r>
        </a:p>
        <a:p>
          <a:r>
            <a:rPr lang="es-ES" sz="1600"/>
            <a:t>MODE</a:t>
          </a:r>
        </a:p>
        <a:p>
          <a:r>
            <a:rPr lang="es-ES" sz="1600"/>
            <a:t>STANDARD DEVIATION</a:t>
          </a:r>
        </a:p>
        <a:p>
          <a:r>
            <a:rPr lang="es-ES" sz="1600"/>
            <a:t>QUARTILES</a:t>
          </a:r>
        </a:p>
        <a:p>
          <a:r>
            <a:rPr lang="es-ES" sz="1600"/>
            <a:t>PERCENTILE 90 and 10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676275</xdr:colOff>
      <xdr:row>15</xdr:row>
      <xdr:rowOff>47625</xdr:rowOff>
    </xdr:from>
    <xdr:ext cx="3835922" cy="2847318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7E599AC-0E69-469A-8D01-4DC90FFA3A70}"/>
            </a:ext>
          </a:extLst>
        </xdr:cNvPr>
        <xdr:cNvSpPr txBox="1"/>
      </xdr:nvSpPr>
      <xdr:spPr>
        <a:xfrm>
          <a:off x="10296525" y="2809875"/>
          <a:ext cx="3835922" cy="284731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/>
            <a:t>Define Names</a:t>
          </a:r>
          <a:r>
            <a:rPr lang="es-ES" sz="1600" baseline="0"/>
            <a:t> for each one of the variables.</a:t>
          </a:r>
          <a:endParaRPr lang="es-ES" sz="1600"/>
        </a:p>
        <a:p>
          <a:r>
            <a:rPr lang="es-ES" sz="1600"/>
            <a:t>Calculate for all numeric columns:</a:t>
          </a:r>
        </a:p>
        <a:p>
          <a:endParaRPr lang="es-ES" sz="1600"/>
        </a:p>
        <a:p>
          <a:r>
            <a:rPr lang="es-ES" sz="1600"/>
            <a:t>AVERAGE</a:t>
          </a:r>
        </a:p>
        <a:p>
          <a:r>
            <a:rPr lang="es-ES" sz="1600"/>
            <a:t>MAX</a:t>
          </a:r>
        </a:p>
        <a:p>
          <a:r>
            <a:rPr lang="es-ES" sz="1600"/>
            <a:t>MIN</a:t>
          </a:r>
        </a:p>
        <a:p>
          <a:r>
            <a:rPr lang="es-ES" sz="1600"/>
            <a:t>MEDIAN</a:t>
          </a:r>
        </a:p>
        <a:p>
          <a:r>
            <a:rPr lang="es-ES" sz="1600"/>
            <a:t>MODE</a:t>
          </a:r>
        </a:p>
        <a:p>
          <a:r>
            <a:rPr lang="es-ES" sz="1600"/>
            <a:t>STANDARD DEVIATION</a:t>
          </a:r>
        </a:p>
        <a:p>
          <a:r>
            <a:rPr lang="es-ES" sz="1600"/>
            <a:t>QUARTILES</a:t>
          </a:r>
        </a:p>
        <a:p>
          <a:r>
            <a:rPr lang="es-ES" sz="1600"/>
            <a:t>PERCENTILE 90 and 10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742950</xdr:colOff>
      <xdr:row>0</xdr:row>
      <xdr:rowOff>0</xdr:rowOff>
    </xdr:from>
    <xdr:ext cx="6540573" cy="2596865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6AE5BFF-A386-48F0-BF29-53DC2764A52C}"/>
            </a:ext>
          </a:extLst>
        </xdr:cNvPr>
        <xdr:cNvSpPr txBox="1"/>
      </xdr:nvSpPr>
      <xdr:spPr>
        <a:xfrm>
          <a:off x="6438900" y="0"/>
          <a:ext cx="6540573" cy="259686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aseline="0"/>
            <a:t>Calculate for all numeric columns of the table in worksheet "Penguins data":</a:t>
          </a:r>
        </a:p>
        <a:p>
          <a:endParaRPr lang="es-ES" sz="1600" baseline="0"/>
        </a:p>
        <a:p>
          <a:r>
            <a:rPr lang="es-ES" sz="1600" baseline="0"/>
            <a:t>AVERAGE</a:t>
          </a:r>
        </a:p>
        <a:p>
          <a:r>
            <a:rPr lang="es-ES" sz="1600" baseline="0"/>
            <a:t>MAX</a:t>
          </a:r>
        </a:p>
        <a:p>
          <a:r>
            <a:rPr lang="es-ES" sz="1600" baseline="0"/>
            <a:t>MIN</a:t>
          </a:r>
        </a:p>
        <a:p>
          <a:r>
            <a:rPr lang="es-ES" sz="1600" baseline="0"/>
            <a:t>MEDIAN</a:t>
          </a:r>
        </a:p>
        <a:p>
          <a:r>
            <a:rPr lang="es-ES" sz="1600" baseline="0"/>
            <a:t>MODE</a:t>
          </a:r>
        </a:p>
        <a:p>
          <a:r>
            <a:rPr lang="es-ES" sz="1600" baseline="0"/>
            <a:t>STANDARD DEVIATION</a:t>
          </a:r>
        </a:p>
        <a:p>
          <a:r>
            <a:rPr lang="es-ES" sz="1600" baseline="0"/>
            <a:t>QUARTILES</a:t>
          </a:r>
        </a:p>
        <a:p>
          <a:r>
            <a:rPr lang="es-ES" sz="1600" baseline="0"/>
            <a:t>PERCENTILE 95 and 5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695325</xdr:colOff>
      <xdr:row>1</xdr:row>
      <xdr:rowOff>104775</xdr:rowOff>
    </xdr:from>
    <xdr:ext cx="3117328" cy="593239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F4DE725-168D-4935-BC17-62A398A88A0B}"/>
            </a:ext>
          </a:extLst>
        </xdr:cNvPr>
        <xdr:cNvSpPr txBox="1"/>
      </xdr:nvSpPr>
      <xdr:spPr>
        <a:xfrm>
          <a:off x="9807575" y="288925"/>
          <a:ext cx="3117328" cy="59323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600"/>
        </a:p>
        <a:p>
          <a:r>
            <a:rPr lang="es-ES" sz="1600"/>
            <a:t>SUMIF</a:t>
          </a:r>
          <a:r>
            <a:rPr lang="es-ES" sz="1600" baseline="0"/>
            <a:t> COUNTIF SUMIFS COUNTIFS</a:t>
          </a:r>
          <a:endParaRPr lang="es-ES" sz="1600"/>
        </a:p>
      </xdr:txBody>
    </xdr:sp>
    <xdr:clientData/>
  </xdr:oneCellAnchor>
  <xdr:oneCellAnchor>
    <xdr:from>
      <xdr:col>11</xdr:col>
      <xdr:colOff>19051</xdr:colOff>
      <xdr:row>6</xdr:row>
      <xdr:rowOff>180975</xdr:rowOff>
    </xdr:from>
    <xdr:ext cx="7048500" cy="375583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B679F9F-0E68-4883-9824-41DAB908F32C}"/>
            </a:ext>
          </a:extLst>
        </xdr:cNvPr>
        <xdr:cNvSpPr txBox="1"/>
      </xdr:nvSpPr>
      <xdr:spPr>
        <a:xfrm>
          <a:off x="9893301" y="1285875"/>
          <a:ext cx="7048500" cy="37558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Using SUMIF calculate the sum of the bodyweight of the MALE penguins</a:t>
          </a:r>
        </a:p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Using SUMIF calculate the sum of the bodyweight of the FEMALE penguins</a:t>
          </a:r>
        </a:p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Using COUNTIF count how many of the penguins are FEMALE</a:t>
          </a:r>
        </a:p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Using COUNTIF count how many of the penguins are MALE</a:t>
          </a:r>
        </a:p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Using COUNTIF count how many of the penguins weigh more than 3700 grams</a:t>
          </a:r>
        </a:p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 Using SUMIFS sum the bodyweight of the Adelie penguins that are MALE</a:t>
          </a:r>
        </a:p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 Using COUNTIFS, count how many of the Adelie penguins weigh more than 3700 grams and live on Biscoe Island.</a:t>
          </a:r>
        </a:p>
        <a:p>
          <a:endParaRPr lang="es-ES" sz="18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695325</xdr:colOff>
      <xdr:row>1</xdr:row>
      <xdr:rowOff>104775</xdr:rowOff>
    </xdr:from>
    <xdr:ext cx="7038975" cy="342786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9E710CA-D388-428A-B956-71A8B3C49D85}"/>
            </a:ext>
          </a:extLst>
        </xdr:cNvPr>
        <xdr:cNvSpPr txBox="1"/>
      </xdr:nvSpPr>
      <xdr:spPr>
        <a:xfrm>
          <a:off x="9807575" y="288925"/>
          <a:ext cx="7038975" cy="34278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600"/>
            <a:t>MAX IF, MIN IF, AVERAGEIF, MAXIFS, MINIFS, AVERAGEIFS</a:t>
          </a:r>
        </a:p>
      </xdr:txBody>
    </xdr:sp>
    <xdr:clientData/>
  </xdr:oneCellAnchor>
  <xdr:oneCellAnchor>
    <xdr:from>
      <xdr:col>11</xdr:col>
      <xdr:colOff>19050</xdr:colOff>
      <xdr:row>6</xdr:row>
      <xdr:rowOff>180975</xdr:rowOff>
    </xdr:from>
    <xdr:ext cx="8216899" cy="2064989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FF396BF-F048-4A67-83C8-A6B1DF18E3EE}"/>
            </a:ext>
          </a:extLst>
        </xdr:cNvPr>
        <xdr:cNvSpPr txBox="1"/>
      </xdr:nvSpPr>
      <xdr:spPr>
        <a:xfrm>
          <a:off x="9893300" y="1285875"/>
          <a:ext cx="8216899" cy="206498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Using MAX IF calculate the maximum body weight of each sex</a:t>
          </a:r>
        </a:p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Using MIN IF calculate the minimum body weight of each sex</a:t>
          </a:r>
        </a:p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Using AVERAGEIF calculate the average weight of each sex</a:t>
          </a:r>
        </a:p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Using MAXIFS calculate the maximum body weight of the MALE of each species</a:t>
          </a:r>
        </a:p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Using MINIFS calculate the minimum body weight of the FEMALE of each species</a:t>
          </a:r>
        </a:p>
        <a:p>
          <a:r>
            <a:rPr lang="es-ES" sz="18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 Using AVERAGEIFS find the average body weight of Adelie penguins that are MALE</a:t>
          </a:r>
        </a:p>
        <a:p>
          <a:endParaRPr lang="es-ES" sz="18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E473D6-61C2-4BB0-93CE-FFD151980F61}" name="Table1" displayName="Table1" ref="A1:G343" totalsRowShown="0">
  <autoFilter ref="A1:G343" xr:uid="{B5E473D6-61C2-4BB0-93CE-FFD151980F61}">
    <filterColumn colId="6">
      <filters>
        <filter val="MALE"/>
      </filters>
    </filterColumn>
  </autoFilter>
  <tableColumns count="7">
    <tableColumn id="1" xr3:uid="{343714BD-2814-404A-8B06-CC7C93F2B3CE}" name="Species"/>
    <tableColumn id="2" xr3:uid="{A624847C-007E-44A3-865B-46DA71B46E01}" name="Island"/>
    <tableColumn id="3" xr3:uid="{105BEBDE-CAD0-436E-9DE6-0F1A444C61A7}" name="culmen_length_mm" dataDxfId="1" dataCellStyle="Comma"/>
    <tableColumn id="4" xr3:uid="{2DDE07E6-3621-43B3-A607-75256AC7FB0E}" name="height_width_mm" dataDxfId="0" dataCellStyle="Comma"/>
    <tableColumn id="5" xr3:uid="{215A90D1-DD67-4B37-93D2-B78B0C28AF28}" name="Flipper_length_mm"/>
    <tableColumn id="6" xr3:uid="{738A5839-CBF3-478F-822B-AFBC2EBCECB0}" name="weight in grams"/>
    <tableColumn id="7" xr3:uid="{87C23E20-A942-4E71-BD95-B8DA2933701F}" name="s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A8FB23-2FE0-43C7-8368-DADC5547B48C}">
  <we:reference id="wa104381504" version="1.0.0.0" store="en-GB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0"/>
  <sheetViews>
    <sheetView topLeftCell="B1" zoomScaleNormal="100" workbookViewId="0">
      <selection activeCell="K2" sqref="K2"/>
    </sheetView>
  </sheetViews>
  <sheetFormatPr defaultColWidth="10.86328125" defaultRowHeight="14.25" x14ac:dyDescent="0.45"/>
  <cols>
    <col min="3" max="3" width="18.86328125" bestFit="1" customWidth="1"/>
    <col min="4" max="4" width="18.3984375" bestFit="1" customWidth="1"/>
    <col min="5" max="5" width="18.265625" bestFit="1" customWidth="1"/>
    <col min="6" max="6" width="12.86328125" bestFit="1" customWidth="1"/>
    <col min="10" max="10" width="14.86328125" customWidth="1"/>
    <col min="11" max="11" width="18.86328125" bestFit="1" customWidth="1"/>
    <col min="12" max="12" width="18.3984375" bestFit="1" customWidth="1"/>
    <col min="13" max="13" width="18.265625" bestFit="1" customWidth="1"/>
    <col min="14" max="14" width="12.86328125" bestFit="1" customWidth="1"/>
  </cols>
  <sheetData>
    <row r="1" spans="1:14" x14ac:dyDescent="0.45">
      <c r="A1" t="s">
        <v>10</v>
      </c>
      <c r="B1" t="s">
        <v>11</v>
      </c>
      <c r="C1" t="s">
        <v>12</v>
      </c>
      <c r="D1" t="s">
        <v>13</v>
      </c>
      <c r="E1" t="s">
        <v>16</v>
      </c>
      <c r="F1" t="s">
        <v>14</v>
      </c>
      <c r="G1" t="s">
        <v>15</v>
      </c>
      <c r="K1" t="s">
        <v>12</v>
      </c>
      <c r="L1" t="s">
        <v>13</v>
      </c>
      <c r="M1" t="s">
        <v>16</v>
      </c>
      <c r="N1" t="s">
        <v>14</v>
      </c>
    </row>
    <row r="2" spans="1:14" x14ac:dyDescent="0.45">
      <c r="A2" t="s">
        <v>0</v>
      </c>
      <c r="B2" t="s">
        <v>1</v>
      </c>
      <c r="C2" s="1">
        <v>391</v>
      </c>
      <c r="D2" s="1">
        <v>187</v>
      </c>
      <c r="E2">
        <v>181</v>
      </c>
      <c r="F2">
        <v>3750</v>
      </c>
      <c r="G2" t="s">
        <v>2</v>
      </c>
      <c r="J2" s="2" t="s">
        <v>17</v>
      </c>
      <c r="K2" s="6"/>
    </row>
    <row r="3" spans="1:14" x14ac:dyDescent="0.45">
      <c r="A3" t="s">
        <v>0</v>
      </c>
      <c r="B3" t="s">
        <v>1</v>
      </c>
      <c r="C3" s="1">
        <v>395</v>
      </c>
      <c r="D3" s="1">
        <v>174</v>
      </c>
      <c r="E3">
        <v>186</v>
      </c>
      <c r="F3">
        <v>3800</v>
      </c>
      <c r="G3" t="s">
        <v>3</v>
      </c>
      <c r="J3" s="2" t="s">
        <v>8</v>
      </c>
      <c r="K3" s="6"/>
    </row>
    <row r="4" spans="1:14" x14ac:dyDescent="0.45">
      <c r="A4" t="s">
        <v>0</v>
      </c>
      <c r="B4" t="s">
        <v>1</v>
      </c>
      <c r="C4" s="1">
        <v>403</v>
      </c>
      <c r="D4" s="1">
        <v>180</v>
      </c>
      <c r="E4">
        <v>195</v>
      </c>
      <c r="F4">
        <v>3250</v>
      </c>
      <c r="G4" t="s">
        <v>3</v>
      </c>
      <c r="J4" s="2" t="s">
        <v>9</v>
      </c>
      <c r="K4" s="6"/>
    </row>
    <row r="5" spans="1:14" x14ac:dyDescent="0.45">
      <c r="A5" t="s">
        <v>0</v>
      </c>
      <c r="B5" t="s">
        <v>1</v>
      </c>
      <c r="C5" s="1">
        <v>367</v>
      </c>
      <c r="D5" s="1">
        <v>193</v>
      </c>
      <c r="E5">
        <v>193</v>
      </c>
      <c r="F5">
        <v>3450</v>
      </c>
      <c r="G5" t="s">
        <v>3</v>
      </c>
      <c r="J5" s="2" t="s">
        <v>18</v>
      </c>
      <c r="K5" s="6"/>
    </row>
    <row r="6" spans="1:14" x14ac:dyDescent="0.45">
      <c r="A6" t="s">
        <v>0</v>
      </c>
      <c r="B6" t="s">
        <v>1</v>
      </c>
      <c r="C6" s="1">
        <v>393</v>
      </c>
      <c r="D6" s="1">
        <v>206</v>
      </c>
      <c r="E6">
        <v>190</v>
      </c>
      <c r="F6">
        <v>3650</v>
      </c>
      <c r="G6" t="s">
        <v>2</v>
      </c>
      <c r="J6" s="2" t="s">
        <v>37</v>
      </c>
    </row>
    <row r="7" spans="1:14" x14ac:dyDescent="0.45">
      <c r="A7" t="s">
        <v>0</v>
      </c>
      <c r="B7" t="s">
        <v>1</v>
      </c>
      <c r="C7" s="1">
        <v>389</v>
      </c>
      <c r="D7" s="1">
        <v>178</v>
      </c>
      <c r="E7">
        <v>181</v>
      </c>
      <c r="F7">
        <v>3625</v>
      </c>
      <c r="G7" t="s">
        <v>3</v>
      </c>
      <c r="J7" s="2" t="s">
        <v>38</v>
      </c>
      <c r="K7" s="2"/>
    </row>
    <row r="8" spans="1:14" x14ac:dyDescent="0.45">
      <c r="A8" t="s">
        <v>0</v>
      </c>
      <c r="B8" t="s">
        <v>1</v>
      </c>
      <c r="C8" s="1">
        <v>392</v>
      </c>
      <c r="D8" s="1">
        <v>196</v>
      </c>
      <c r="E8">
        <v>195</v>
      </c>
      <c r="F8">
        <v>4675</v>
      </c>
      <c r="G8" t="s">
        <v>2</v>
      </c>
      <c r="J8" s="2" t="s">
        <v>19</v>
      </c>
    </row>
    <row r="9" spans="1:14" x14ac:dyDescent="0.45">
      <c r="A9" t="s">
        <v>0</v>
      </c>
      <c r="B9" t="s">
        <v>1</v>
      </c>
      <c r="C9" s="1">
        <v>341</v>
      </c>
      <c r="D9" s="1">
        <v>181</v>
      </c>
      <c r="E9">
        <v>193</v>
      </c>
      <c r="F9">
        <v>3475</v>
      </c>
      <c r="G9" t="s">
        <v>2</v>
      </c>
      <c r="J9" s="2" t="s">
        <v>20</v>
      </c>
    </row>
    <row r="10" spans="1:14" x14ac:dyDescent="0.45">
      <c r="A10" t="s">
        <v>0</v>
      </c>
      <c r="B10" t="s">
        <v>1</v>
      </c>
      <c r="C10" s="1">
        <v>420</v>
      </c>
      <c r="D10" s="1">
        <v>202</v>
      </c>
      <c r="E10">
        <v>190</v>
      </c>
      <c r="F10">
        <v>4250</v>
      </c>
      <c r="G10" t="s">
        <v>2</v>
      </c>
      <c r="J10" s="2" t="s">
        <v>21</v>
      </c>
    </row>
    <row r="11" spans="1:14" x14ac:dyDescent="0.45">
      <c r="A11" t="s">
        <v>0</v>
      </c>
      <c r="B11" t="s">
        <v>1</v>
      </c>
      <c r="C11" s="1">
        <v>378</v>
      </c>
      <c r="D11" s="1">
        <v>171</v>
      </c>
      <c r="E11">
        <v>186</v>
      </c>
      <c r="F11">
        <v>3300</v>
      </c>
      <c r="G11" t="s">
        <v>2</v>
      </c>
      <c r="J11" s="2" t="s">
        <v>22</v>
      </c>
    </row>
    <row r="12" spans="1:14" x14ac:dyDescent="0.45">
      <c r="A12" t="s">
        <v>0</v>
      </c>
      <c r="B12" t="s">
        <v>1</v>
      </c>
      <c r="C12" s="1">
        <v>378</v>
      </c>
      <c r="D12" s="1">
        <v>173</v>
      </c>
      <c r="E12">
        <v>180</v>
      </c>
      <c r="F12">
        <v>3700</v>
      </c>
      <c r="G12" t="s">
        <v>2</v>
      </c>
      <c r="J12" s="2" t="s">
        <v>23</v>
      </c>
    </row>
    <row r="13" spans="1:14" x14ac:dyDescent="0.45">
      <c r="A13" t="s">
        <v>0</v>
      </c>
      <c r="B13" t="s">
        <v>1</v>
      </c>
      <c r="C13" s="1">
        <v>411</v>
      </c>
      <c r="D13" s="1">
        <v>176</v>
      </c>
      <c r="E13">
        <v>182</v>
      </c>
      <c r="F13">
        <v>3200</v>
      </c>
      <c r="G13" t="s">
        <v>3</v>
      </c>
    </row>
    <row r="14" spans="1:14" x14ac:dyDescent="0.45">
      <c r="A14" t="s">
        <v>0</v>
      </c>
      <c r="B14" t="s">
        <v>1</v>
      </c>
      <c r="C14" s="1">
        <v>386</v>
      </c>
      <c r="D14" s="1">
        <v>212</v>
      </c>
      <c r="E14">
        <v>191</v>
      </c>
      <c r="F14">
        <v>3800</v>
      </c>
      <c r="G14" t="s">
        <v>2</v>
      </c>
    </row>
    <row r="15" spans="1:14" x14ac:dyDescent="0.45">
      <c r="A15" t="s">
        <v>0</v>
      </c>
      <c r="B15" t="s">
        <v>1</v>
      </c>
      <c r="C15" s="1">
        <v>346</v>
      </c>
      <c r="D15" s="1">
        <v>211</v>
      </c>
      <c r="E15">
        <v>198</v>
      </c>
      <c r="F15">
        <v>4400</v>
      </c>
      <c r="G15" t="s">
        <v>2</v>
      </c>
    </row>
    <row r="16" spans="1:14" x14ac:dyDescent="0.45">
      <c r="A16" t="s">
        <v>0</v>
      </c>
      <c r="B16" t="s">
        <v>1</v>
      </c>
      <c r="C16" s="1">
        <v>366</v>
      </c>
      <c r="D16" s="1">
        <v>178</v>
      </c>
      <c r="E16">
        <v>185</v>
      </c>
      <c r="F16">
        <v>3700</v>
      </c>
      <c r="G16" t="s">
        <v>3</v>
      </c>
    </row>
    <row r="17" spans="1:7" x14ac:dyDescent="0.45">
      <c r="A17" t="s">
        <v>0</v>
      </c>
      <c r="B17" t="s">
        <v>1</v>
      </c>
      <c r="C17" s="1">
        <v>387</v>
      </c>
      <c r="D17" s="1">
        <v>190</v>
      </c>
      <c r="E17">
        <v>195</v>
      </c>
      <c r="F17">
        <v>3450</v>
      </c>
      <c r="G17" t="s">
        <v>3</v>
      </c>
    </row>
    <row r="18" spans="1:7" x14ac:dyDescent="0.45">
      <c r="A18" t="s">
        <v>0</v>
      </c>
      <c r="B18" t="s">
        <v>1</v>
      </c>
      <c r="C18" s="1">
        <v>425</v>
      </c>
      <c r="D18" s="1">
        <v>207</v>
      </c>
      <c r="E18">
        <v>197</v>
      </c>
      <c r="F18">
        <v>4500</v>
      </c>
      <c r="G18" t="s">
        <v>2</v>
      </c>
    </row>
    <row r="19" spans="1:7" x14ac:dyDescent="0.45">
      <c r="A19" t="s">
        <v>0</v>
      </c>
      <c r="B19" t="s">
        <v>1</v>
      </c>
      <c r="C19" s="1">
        <v>344</v>
      </c>
      <c r="D19" s="1">
        <v>184</v>
      </c>
      <c r="E19">
        <v>184</v>
      </c>
      <c r="F19">
        <v>3325</v>
      </c>
      <c r="G19" t="s">
        <v>3</v>
      </c>
    </row>
    <row r="20" spans="1:7" x14ac:dyDescent="0.45">
      <c r="A20" t="s">
        <v>0</v>
      </c>
      <c r="B20" t="s">
        <v>1</v>
      </c>
      <c r="C20" s="1">
        <v>460</v>
      </c>
      <c r="D20" s="1">
        <v>215</v>
      </c>
      <c r="E20">
        <v>194</v>
      </c>
      <c r="F20">
        <v>4200</v>
      </c>
      <c r="G20" t="s">
        <v>2</v>
      </c>
    </row>
    <row r="21" spans="1:7" x14ac:dyDescent="0.45">
      <c r="A21" t="s">
        <v>0</v>
      </c>
      <c r="B21" t="s">
        <v>4</v>
      </c>
      <c r="C21" s="1">
        <v>378</v>
      </c>
      <c r="D21" s="1">
        <v>183</v>
      </c>
      <c r="E21">
        <v>174</v>
      </c>
      <c r="F21">
        <v>3400</v>
      </c>
      <c r="G21" t="s">
        <v>3</v>
      </c>
    </row>
    <row r="22" spans="1:7" x14ac:dyDescent="0.45">
      <c r="A22" t="s">
        <v>0</v>
      </c>
      <c r="B22" t="s">
        <v>4</v>
      </c>
      <c r="C22" s="1">
        <v>377</v>
      </c>
      <c r="D22" s="1">
        <v>187</v>
      </c>
      <c r="E22">
        <v>180</v>
      </c>
      <c r="F22">
        <v>3600</v>
      </c>
      <c r="G22" t="s">
        <v>2</v>
      </c>
    </row>
    <row r="23" spans="1:7" x14ac:dyDescent="0.45">
      <c r="A23" t="s">
        <v>0</v>
      </c>
      <c r="B23" t="s">
        <v>4</v>
      </c>
      <c r="C23" s="1">
        <v>359</v>
      </c>
      <c r="D23" s="1">
        <v>192</v>
      </c>
      <c r="E23">
        <v>189</v>
      </c>
      <c r="F23">
        <v>3800</v>
      </c>
      <c r="G23" t="s">
        <v>3</v>
      </c>
    </row>
    <row r="24" spans="1:7" x14ac:dyDescent="0.45">
      <c r="A24" t="s">
        <v>0</v>
      </c>
      <c r="B24" t="s">
        <v>4</v>
      </c>
      <c r="C24" s="1">
        <v>382</v>
      </c>
      <c r="D24" s="1">
        <v>181</v>
      </c>
      <c r="E24">
        <v>185</v>
      </c>
      <c r="F24">
        <v>3950</v>
      </c>
      <c r="G24" t="s">
        <v>2</v>
      </c>
    </row>
    <row r="25" spans="1:7" x14ac:dyDescent="0.45">
      <c r="A25" t="s">
        <v>0</v>
      </c>
      <c r="B25" t="s">
        <v>4</v>
      </c>
      <c r="C25" s="1">
        <v>388</v>
      </c>
      <c r="D25" s="1">
        <v>172</v>
      </c>
      <c r="E25">
        <v>180</v>
      </c>
      <c r="F25">
        <v>3800</v>
      </c>
      <c r="G25" t="s">
        <v>2</v>
      </c>
    </row>
    <row r="26" spans="1:7" x14ac:dyDescent="0.45">
      <c r="A26" t="s">
        <v>0</v>
      </c>
      <c r="B26" t="s">
        <v>4</v>
      </c>
      <c r="C26" s="1">
        <v>353</v>
      </c>
      <c r="D26" s="1">
        <v>189</v>
      </c>
      <c r="E26">
        <v>187</v>
      </c>
      <c r="F26">
        <v>3800</v>
      </c>
      <c r="G26" t="s">
        <v>3</v>
      </c>
    </row>
    <row r="27" spans="1:7" x14ac:dyDescent="0.45">
      <c r="A27" t="s">
        <v>0</v>
      </c>
      <c r="B27" t="s">
        <v>4</v>
      </c>
      <c r="C27" s="1">
        <v>406</v>
      </c>
      <c r="D27" s="1">
        <v>186</v>
      </c>
      <c r="E27">
        <v>183</v>
      </c>
      <c r="F27">
        <v>3550</v>
      </c>
      <c r="G27" t="s">
        <v>2</v>
      </c>
    </row>
    <row r="28" spans="1:7" x14ac:dyDescent="0.45">
      <c r="A28" t="s">
        <v>0</v>
      </c>
      <c r="B28" t="s">
        <v>4</v>
      </c>
      <c r="C28" s="1">
        <v>405</v>
      </c>
      <c r="D28" s="1">
        <v>179</v>
      </c>
      <c r="E28">
        <v>187</v>
      </c>
      <c r="F28">
        <v>3200</v>
      </c>
      <c r="G28" t="s">
        <v>3</v>
      </c>
    </row>
    <row r="29" spans="1:7" x14ac:dyDescent="0.45">
      <c r="A29" t="s">
        <v>0</v>
      </c>
      <c r="B29" t="s">
        <v>4</v>
      </c>
      <c r="C29" s="1">
        <v>379</v>
      </c>
      <c r="D29" s="1">
        <v>186</v>
      </c>
      <c r="E29">
        <v>172</v>
      </c>
      <c r="F29">
        <v>3150</v>
      </c>
      <c r="G29" t="s">
        <v>3</v>
      </c>
    </row>
    <row r="30" spans="1:7" x14ac:dyDescent="0.45">
      <c r="A30" t="s">
        <v>0</v>
      </c>
      <c r="B30" t="s">
        <v>4</v>
      </c>
      <c r="C30" s="1">
        <v>405</v>
      </c>
      <c r="D30" s="1">
        <v>189</v>
      </c>
      <c r="E30">
        <v>180</v>
      </c>
      <c r="F30">
        <v>3950</v>
      </c>
      <c r="G30" t="s">
        <v>2</v>
      </c>
    </row>
    <row r="31" spans="1:7" x14ac:dyDescent="0.45">
      <c r="A31" t="s">
        <v>0</v>
      </c>
      <c r="B31" t="s">
        <v>5</v>
      </c>
      <c r="C31" s="1">
        <v>395</v>
      </c>
      <c r="D31" s="1">
        <v>167</v>
      </c>
      <c r="E31">
        <v>178</v>
      </c>
      <c r="F31">
        <v>3250</v>
      </c>
      <c r="G31" t="s">
        <v>3</v>
      </c>
    </row>
    <row r="32" spans="1:7" x14ac:dyDescent="0.45">
      <c r="A32" t="s">
        <v>0</v>
      </c>
      <c r="B32" t="s">
        <v>5</v>
      </c>
      <c r="C32" s="1">
        <v>372</v>
      </c>
      <c r="D32" s="1">
        <v>181</v>
      </c>
      <c r="E32">
        <v>178</v>
      </c>
      <c r="F32">
        <v>3900</v>
      </c>
      <c r="G32" t="s">
        <v>2</v>
      </c>
    </row>
    <row r="33" spans="1:7" x14ac:dyDescent="0.45">
      <c r="A33" t="s">
        <v>0</v>
      </c>
      <c r="B33" t="s">
        <v>5</v>
      </c>
      <c r="C33" s="1">
        <v>395</v>
      </c>
      <c r="D33" s="1">
        <v>178</v>
      </c>
      <c r="E33">
        <v>188</v>
      </c>
      <c r="F33">
        <v>3300</v>
      </c>
      <c r="G33" t="s">
        <v>3</v>
      </c>
    </row>
    <row r="34" spans="1:7" x14ac:dyDescent="0.45">
      <c r="A34" t="s">
        <v>0</v>
      </c>
      <c r="B34" t="s">
        <v>5</v>
      </c>
      <c r="C34" s="1">
        <v>409</v>
      </c>
      <c r="D34" s="1">
        <v>189</v>
      </c>
      <c r="E34">
        <v>184</v>
      </c>
      <c r="F34">
        <v>3900</v>
      </c>
      <c r="G34" t="s">
        <v>2</v>
      </c>
    </row>
    <row r="35" spans="1:7" x14ac:dyDescent="0.45">
      <c r="A35" t="s">
        <v>0</v>
      </c>
      <c r="B35" t="s">
        <v>5</v>
      </c>
      <c r="C35" s="1">
        <v>364</v>
      </c>
      <c r="D35" s="1">
        <v>170</v>
      </c>
      <c r="E35">
        <v>195</v>
      </c>
      <c r="F35">
        <v>3325</v>
      </c>
      <c r="G35" t="s">
        <v>3</v>
      </c>
    </row>
    <row r="36" spans="1:7" x14ac:dyDescent="0.45">
      <c r="A36" t="s">
        <v>0</v>
      </c>
      <c r="B36" t="s">
        <v>5</v>
      </c>
      <c r="C36" s="1">
        <v>392</v>
      </c>
      <c r="D36" s="1">
        <v>211</v>
      </c>
      <c r="E36">
        <v>196</v>
      </c>
      <c r="F36">
        <v>4150</v>
      </c>
      <c r="G36" t="s">
        <v>2</v>
      </c>
    </row>
    <row r="37" spans="1:7" x14ac:dyDescent="0.45">
      <c r="A37" t="s">
        <v>0</v>
      </c>
      <c r="B37" t="s">
        <v>5</v>
      </c>
      <c r="C37" s="1">
        <v>388</v>
      </c>
      <c r="D37" s="1">
        <v>200</v>
      </c>
      <c r="E37">
        <v>190</v>
      </c>
      <c r="F37">
        <v>3950</v>
      </c>
      <c r="G37" t="s">
        <v>2</v>
      </c>
    </row>
    <row r="38" spans="1:7" x14ac:dyDescent="0.45">
      <c r="A38" t="s">
        <v>0</v>
      </c>
      <c r="B38" t="s">
        <v>5</v>
      </c>
      <c r="C38" s="1">
        <v>422</v>
      </c>
      <c r="D38" s="1">
        <v>185</v>
      </c>
      <c r="E38">
        <v>180</v>
      </c>
      <c r="F38">
        <v>3550</v>
      </c>
      <c r="G38" t="s">
        <v>3</v>
      </c>
    </row>
    <row r="39" spans="1:7" x14ac:dyDescent="0.45">
      <c r="A39" t="s">
        <v>0</v>
      </c>
      <c r="B39" t="s">
        <v>5</v>
      </c>
      <c r="C39" s="1">
        <v>376</v>
      </c>
      <c r="D39" s="1">
        <v>193</v>
      </c>
      <c r="E39">
        <v>181</v>
      </c>
      <c r="F39">
        <v>3300</v>
      </c>
      <c r="G39" t="s">
        <v>3</v>
      </c>
    </row>
    <row r="40" spans="1:7" x14ac:dyDescent="0.45">
      <c r="A40" t="s">
        <v>0</v>
      </c>
      <c r="B40" t="s">
        <v>5</v>
      </c>
      <c r="C40" s="1">
        <v>398</v>
      </c>
      <c r="D40" s="1">
        <v>191</v>
      </c>
      <c r="E40">
        <v>184</v>
      </c>
      <c r="F40">
        <v>4650</v>
      </c>
      <c r="G40" t="s">
        <v>2</v>
      </c>
    </row>
    <row r="41" spans="1:7" x14ac:dyDescent="0.45">
      <c r="A41" t="s">
        <v>0</v>
      </c>
      <c r="B41" t="s">
        <v>5</v>
      </c>
      <c r="C41" s="1">
        <v>365</v>
      </c>
      <c r="D41" s="1">
        <v>180</v>
      </c>
      <c r="E41">
        <v>182</v>
      </c>
      <c r="F41">
        <v>3150</v>
      </c>
      <c r="G41" t="s">
        <v>3</v>
      </c>
    </row>
    <row r="42" spans="1:7" x14ac:dyDescent="0.45">
      <c r="A42" t="s">
        <v>0</v>
      </c>
      <c r="B42" t="s">
        <v>5</v>
      </c>
      <c r="C42" s="1">
        <v>408</v>
      </c>
      <c r="D42" s="1">
        <v>184</v>
      </c>
      <c r="E42">
        <v>195</v>
      </c>
      <c r="F42">
        <v>3900</v>
      </c>
      <c r="G42" t="s">
        <v>2</v>
      </c>
    </row>
    <row r="43" spans="1:7" x14ac:dyDescent="0.45">
      <c r="A43" t="s">
        <v>0</v>
      </c>
      <c r="B43" t="s">
        <v>5</v>
      </c>
      <c r="C43" s="1">
        <v>360</v>
      </c>
      <c r="D43" s="1">
        <v>185</v>
      </c>
      <c r="E43">
        <v>186</v>
      </c>
      <c r="F43">
        <v>3100</v>
      </c>
      <c r="G43" t="s">
        <v>3</v>
      </c>
    </row>
    <row r="44" spans="1:7" x14ac:dyDescent="0.45">
      <c r="A44" t="s">
        <v>0</v>
      </c>
      <c r="B44" t="s">
        <v>5</v>
      </c>
      <c r="C44" s="1">
        <v>441</v>
      </c>
      <c r="D44" s="1">
        <v>197</v>
      </c>
      <c r="E44">
        <v>196</v>
      </c>
      <c r="F44">
        <v>4400</v>
      </c>
      <c r="G44" t="s">
        <v>2</v>
      </c>
    </row>
    <row r="45" spans="1:7" x14ac:dyDescent="0.45">
      <c r="A45" t="s">
        <v>0</v>
      </c>
      <c r="B45" t="s">
        <v>5</v>
      </c>
      <c r="C45" s="1">
        <v>370</v>
      </c>
      <c r="D45" s="1">
        <v>169</v>
      </c>
      <c r="E45">
        <v>185</v>
      </c>
      <c r="F45">
        <v>3000</v>
      </c>
      <c r="G45" t="s">
        <v>3</v>
      </c>
    </row>
    <row r="46" spans="1:7" x14ac:dyDescent="0.45">
      <c r="A46" t="s">
        <v>0</v>
      </c>
      <c r="B46" t="s">
        <v>5</v>
      </c>
      <c r="C46" s="1">
        <v>396</v>
      </c>
      <c r="D46" s="1">
        <v>188</v>
      </c>
      <c r="E46">
        <v>190</v>
      </c>
      <c r="F46">
        <v>4600</v>
      </c>
      <c r="G46" t="s">
        <v>2</v>
      </c>
    </row>
    <row r="47" spans="1:7" x14ac:dyDescent="0.45">
      <c r="A47" t="s">
        <v>0</v>
      </c>
      <c r="B47" t="s">
        <v>5</v>
      </c>
      <c r="C47" s="1">
        <v>411</v>
      </c>
      <c r="D47" s="1">
        <v>190</v>
      </c>
      <c r="E47">
        <v>182</v>
      </c>
      <c r="F47">
        <v>3425</v>
      </c>
      <c r="G47" t="s">
        <v>2</v>
      </c>
    </row>
    <row r="48" spans="1:7" x14ac:dyDescent="0.45">
      <c r="A48" t="s">
        <v>0</v>
      </c>
      <c r="B48" t="s">
        <v>5</v>
      </c>
      <c r="C48" s="1">
        <v>375</v>
      </c>
      <c r="D48" s="1">
        <v>189</v>
      </c>
      <c r="E48">
        <v>179</v>
      </c>
      <c r="F48">
        <v>2975</v>
      </c>
      <c r="G48" t="s">
        <v>3</v>
      </c>
    </row>
    <row r="49" spans="1:7" x14ac:dyDescent="0.45">
      <c r="A49" t="s">
        <v>0</v>
      </c>
      <c r="B49" t="s">
        <v>5</v>
      </c>
      <c r="C49" s="1">
        <v>360</v>
      </c>
      <c r="D49" s="1">
        <v>179</v>
      </c>
      <c r="E49">
        <v>190</v>
      </c>
      <c r="F49">
        <v>3450</v>
      </c>
      <c r="G49" t="s">
        <v>3</v>
      </c>
    </row>
    <row r="50" spans="1:7" x14ac:dyDescent="0.45">
      <c r="A50" t="s">
        <v>0</v>
      </c>
      <c r="B50" t="s">
        <v>5</v>
      </c>
      <c r="C50" s="1">
        <v>423</v>
      </c>
      <c r="D50" s="1">
        <v>212</v>
      </c>
      <c r="E50">
        <v>191</v>
      </c>
      <c r="F50">
        <v>4150</v>
      </c>
      <c r="G50" t="s">
        <v>2</v>
      </c>
    </row>
    <row r="51" spans="1:7" x14ac:dyDescent="0.45">
      <c r="A51" t="s">
        <v>0</v>
      </c>
      <c r="B51" t="s">
        <v>4</v>
      </c>
      <c r="C51" s="1">
        <v>396</v>
      </c>
      <c r="D51" s="1">
        <v>177</v>
      </c>
      <c r="E51">
        <v>186</v>
      </c>
      <c r="F51">
        <v>3500</v>
      </c>
      <c r="G51" t="s">
        <v>3</v>
      </c>
    </row>
    <row r="52" spans="1:7" x14ac:dyDescent="0.45">
      <c r="A52" t="s">
        <v>0</v>
      </c>
      <c r="B52" t="s">
        <v>4</v>
      </c>
      <c r="C52" s="1">
        <v>401</v>
      </c>
      <c r="D52" s="1">
        <v>189</v>
      </c>
      <c r="E52">
        <v>188</v>
      </c>
      <c r="F52">
        <v>4300</v>
      </c>
      <c r="G52" t="s">
        <v>2</v>
      </c>
    </row>
    <row r="53" spans="1:7" x14ac:dyDescent="0.45">
      <c r="A53" t="s">
        <v>0</v>
      </c>
      <c r="B53" t="s">
        <v>4</v>
      </c>
      <c r="C53" s="1">
        <v>350</v>
      </c>
      <c r="D53" s="1">
        <v>179</v>
      </c>
      <c r="E53">
        <v>190</v>
      </c>
      <c r="F53">
        <v>3450</v>
      </c>
      <c r="G53" t="s">
        <v>3</v>
      </c>
    </row>
    <row r="54" spans="1:7" x14ac:dyDescent="0.45">
      <c r="A54" t="s">
        <v>0</v>
      </c>
      <c r="B54" t="s">
        <v>4</v>
      </c>
      <c r="C54" s="1">
        <v>420</v>
      </c>
      <c r="D54" s="1">
        <v>195</v>
      </c>
      <c r="E54">
        <v>200</v>
      </c>
      <c r="F54">
        <v>4050</v>
      </c>
      <c r="G54" t="s">
        <v>2</v>
      </c>
    </row>
    <row r="55" spans="1:7" x14ac:dyDescent="0.45">
      <c r="A55" t="s">
        <v>0</v>
      </c>
      <c r="B55" t="s">
        <v>4</v>
      </c>
      <c r="C55" s="1">
        <v>345</v>
      </c>
      <c r="D55" s="1">
        <v>181</v>
      </c>
      <c r="E55">
        <v>187</v>
      </c>
      <c r="F55">
        <v>2900</v>
      </c>
      <c r="G55" t="s">
        <v>3</v>
      </c>
    </row>
    <row r="56" spans="1:7" x14ac:dyDescent="0.45">
      <c r="A56" t="s">
        <v>0</v>
      </c>
      <c r="B56" t="s">
        <v>4</v>
      </c>
      <c r="C56" s="1">
        <v>414</v>
      </c>
      <c r="D56" s="1">
        <v>186</v>
      </c>
      <c r="E56">
        <v>191</v>
      </c>
      <c r="F56">
        <v>3700</v>
      </c>
      <c r="G56" t="s">
        <v>2</v>
      </c>
    </row>
    <row r="57" spans="1:7" x14ac:dyDescent="0.45">
      <c r="A57" t="s">
        <v>0</v>
      </c>
      <c r="B57" t="s">
        <v>4</v>
      </c>
      <c r="C57" s="1">
        <v>390</v>
      </c>
      <c r="D57" s="1">
        <v>175</v>
      </c>
      <c r="E57">
        <v>186</v>
      </c>
      <c r="F57">
        <v>3550</v>
      </c>
      <c r="G57" t="s">
        <v>3</v>
      </c>
    </row>
    <row r="58" spans="1:7" x14ac:dyDescent="0.45">
      <c r="A58" t="s">
        <v>0</v>
      </c>
      <c r="B58" t="s">
        <v>4</v>
      </c>
      <c r="C58" s="1">
        <v>406</v>
      </c>
      <c r="D58" s="1">
        <v>188</v>
      </c>
      <c r="E58">
        <v>193</v>
      </c>
      <c r="F58">
        <v>3800</v>
      </c>
      <c r="G58" t="s">
        <v>2</v>
      </c>
    </row>
    <row r="59" spans="1:7" x14ac:dyDescent="0.45">
      <c r="A59" t="s">
        <v>0</v>
      </c>
      <c r="B59" t="s">
        <v>4</v>
      </c>
      <c r="C59" s="1">
        <v>365</v>
      </c>
      <c r="D59" s="1">
        <v>166</v>
      </c>
      <c r="E59">
        <v>181</v>
      </c>
      <c r="F59">
        <v>2850</v>
      </c>
      <c r="G59" t="s">
        <v>3</v>
      </c>
    </row>
    <row r="60" spans="1:7" x14ac:dyDescent="0.45">
      <c r="A60" t="s">
        <v>0</v>
      </c>
      <c r="B60" t="s">
        <v>4</v>
      </c>
      <c r="C60" s="1">
        <v>376</v>
      </c>
      <c r="D60" s="1">
        <v>191</v>
      </c>
      <c r="E60">
        <v>194</v>
      </c>
      <c r="F60">
        <v>3750</v>
      </c>
      <c r="G60" t="s">
        <v>2</v>
      </c>
    </row>
    <row r="61" spans="1:7" x14ac:dyDescent="0.45">
      <c r="A61" t="s">
        <v>0</v>
      </c>
      <c r="B61" t="s">
        <v>4</v>
      </c>
      <c r="C61" s="1">
        <v>357</v>
      </c>
      <c r="D61" s="1">
        <v>169</v>
      </c>
      <c r="E61">
        <v>185</v>
      </c>
      <c r="F61">
        <v>3150</v>
      </c>
      <c r="G61" t="s">
        <v>3</v>
      </c>
    </row>
    <row r="62" spans="1:7" x14ac:dyDescent="0.45">
      <c r="A62" t="s">
        <v>0</v>
      </c>
      <c r="B62" t="s">
        <v>4</v>
      </c>
      <c r="C62" s="1">
        <v>413</v>
      </c>
      <c r="D62" s="1">
        <v>211</v>
      </c>
      <c r="E62">
        <v>195</v>
      </c>
      <c r="F62">
        <v>4400</v>
      </c>
      <c r="G62" t="s">
        <v>2</v>
      </c>
    </row>
    <row r="63" spans="1:7" x14ac:dyDescent="0.45">
      <c r="A63" t="s">
        <v>0</v>
      </c>
      <c r="B63" t="s">
        <v>4</v>
      </c>
      <c r="C63" s="1">
        <v>376</v>
      </c>
      <c r="D63" s="1">
        <v>170</v>
      </c>
      <c r="E63">
        <v>185</v>
      </c>
      <c r="F63">
        <v>3600</v>
      </c>
      <c r="G63" t="s">
        <v>3</v>
      </c>
    </row>
    <row r="64" spans="1:7" x14ac:dyDescent="0.45">
      <c r="A64" t="s">
        <v>0</v>
      </c>
      <c r="B64" t="s">
        <v>4</v>
      </c>
      <c r="C64" s="1">
        <v>411</v>
      </c>
      <c r="D64" s="1">
        <v>182</v>
      </c>
      <c r="E64">
        <v>192</v>
      </c>
      <c r="F64">
        <v>4050</v>
      </c>
      <c r="G64" t="s">
        <v>2</v>
      </c>
    </row>
    <row r="65" spans="1:7" x14ac:dyDescent="0.45">
      <c r="A65" t="s">
        <v>0</v>
      </c>
      <c r="B65" t="s">
        <v>4</v>
      </c>
      <c r="C65" s="1">
        <v>364</v>
      </c>
      <c r="D65" s="1">
        <v>171</v>
      </c>
      <c r="E65">
        <v>184</v>
      </c>
      <c r="F65">
        <v>2850</v>
      </c>
      <c r="G65" t="s">
        <v>3</v>
      </c>
    </row>
    <row r="66" spans="1:7" x14ac:dyDescent="0.45">
      <c r="A66" t="s">
        <v>0</v>
      </c>
      <c r="B66" t="s">
        <v>4</v>
      </c>
      <c r="C66" s="1">
        <v>416</v>
      </c>
      <c r="D66" s="1">
        <v>180</v>
      </c>
      <c r="E66">
        <v>192</v>
      </c>
      <c r="F66">
        <v>3950</v>
      </c>
      <c r="G66" t="s">
        <v>2</v>
      </c>
    </row>
    <row r="67" spans="1:7" x14ac:dyDescent="0.45">
      <c r="A67" t="s">
        <v>0</v>
      </c>
      <c r="B67" t="s">
        <v>4</v>
      </c>
      <c r="C67" s="1">
        <v>355</v>
      </c>
      <c r="D67" s="1">
        <v>162</v>
      </c>
      <c r="E67">
        <v>195</v>
      </c>
      <c r="F67">
        <v>3350</v>
      </c>
      <c r="G67" t="s">
        <v>3</v>
      </c>
    </row>
    <row r="68" spans="1:7" x14ac:dyDescent="0.45">
      <c r="A68" t="s">
        <v>0</v>
      </c>
      <c r="B68" t="s">
        <v>4</v>
      </c>
      <c r="C68" s="1">
        <v>411</v>
      </c>
      <c r="D68" s="1">
        <v>191</v>
      </c>
      <c r="E68">
        <v>188</v>
      </c>
      <c r="F68">
        <v>4100</v>
      </c>
      <c r="G68" t="s">
        <v>2</v>
      </c>
    </row>
    <row r="69" spans="1:7" x14ac:dyDescent="0.45">
      <c r="A69" t="s">
        <v>0</v>
      </c>
      <c r="B69" t="s">
        <v>1</v>
      </c>
      <c r="C69" s="1">
        <v>359</v>
      </c>
      <c r="D69" s="1">
        <v>166</v>
      </c>
      <c r="E69">
        <v>190</v>
      </c>
      <c r="F69">
        <v>3050</v>
      </c>
      <c r="G69" t="s">
        <v>3</v>
      </c>
    </row>
    <row r="70" spans="1:7" x14ac:dyDescent="0.45">
      <c r="A70" t="s">
        <v>0</v>
      </c>
      <c r="B70" t="s">
        <v>1</v>
      </c>
      <c r="C70" s="1">
        <v>418</v>
      </c>
      <c r="D70" s="1">
        <v>194</v>
      </c>
      <c r="E70">
        <v>198</v>
      </c>
      <c r="F70">
        <v>4450</v>
      </c>
      <c r="G70" t="s">
        <v>2</v>
      </c>
    </row>
    <row r="71" spans="1:7" x14ac:dyDescent="0.45">
      <c r="A71" t="s">
        <v>0</v>
      </c>
      <c r="B71" t="s">
        <v>1</v>
      </c>
      <c r="C71" s="1">
        <v>335</v>
      </c>
      <c r="D71" s="1">
        <v>190</v>
      </c>
      <c r="E71">
        <v>190</v>
      </c>
      <c r="F71">
        <v>3600</v>
      </c>
      <c r="G71" t="s">
        <v>3</v>
      </c>
    </row>
    <row r="72" spans="1:7" x14ac:dyDescent="0.45">
      <c r="A72" t="s">
        <v>0</v>
      </c>
      <c r="B72" t="s">
        <v>1</v>
      </c>
      <c r="C72" s="1">
        <v>397</v>
      </c>
      <c r="D72" s="1">
        <v>184</v>
      </c>
      <c r="E72">
        <v>190</v>
      </c>
      <c r="F72">
        <v>3900</v>
      </c>
      <c r="G72" t="s">
        <v>2</v>
      </c>
    </row>
    <row r="73" spans="1:7" x14ac:dyDescent="0.45">
      <c r="A73" t="s">
        <v>0</v>
      </c>
      <c r="B73" t="s">
        <v>1</v>
      </c>
      <c r="C73" s="1">
        <v>396</v>
      </c>
      <c r="D73" s="1">
        <v>172</v>
      </c>
      <c r="E73">
        <v>196</v>
      </c>
      <c r="F73">
        <v>3550</v>
      </c>
      <c r="G73" t="s">
        <v>3</v>
      </c>
    </row>
    <row r="74" spans="1:7" x14ac:dyDescent="0.45">
      <c r="A74" t="s">
        <v>0</v>
      </c>
      <c r="B74" t="s">
        <v>1</v>
      </c>
      <c r="C74" s="1">
        <v>458</v>
      </c>
      <c r="D74" s="1">
        <v>189</v>
      </c>
      <c r="E74">
        <v>197</v>
      </c>
      <c r="F74">
        <v>4150</v>
      </c>
      <c r="G74" t="s">
        <v>2</v>
      </c>
    </row>
    <row r="75" spans="1:7" x14ac:dyDescent="0.45">
      <c r="A75" t="s">
        <v>0</v>
      </c>
      <c r="B75" t="s">
        <v>1</v>
      </c>
      <c r="C75" s="1">
        <v>355</v>
      </c>
      <c r="D75" s="1">
        <v>175</v>
      </c>
      <c r="E75">
        <v>190</v>
      </c>
      <c r="F75">
        <v>3700</v>
      </c>
      <c r="G75" t="s">
        <v>3</v>
      </c>
    </row>
    <row r="76" spans="1:7" x14ac:dyDescent="0.45">
      <c r="A76" t="s">
        <v>0</v>
      </c>
      <c r="B76" t="s">
        <v>1</v>
      </c>
      <c r="C76" s="1">
        <v>428</v>
      </c>
      <c r="D76" s="1">
        <v>185</v>
      </c>
      <c r="E76">
        <v>195</v>
      </c>
      <c r="F76">
        <v>4250</v>
      </c>
      <c r="G76" t="s">
        <v>2</v>
      </c>
    </row>
    <row r="77" spans="1:7" x14ac:dyDescent="0.45">
      <c r="A77" t="s">
        <v>0</v>
      </c>
      <c r="B77" t="s">
        <v>1</v>
      </c>
      <c r="C77" s="1">
        <v>409</v>
      </c>
      <c r="D77" s="1">
        <v>168</v>
      </c>
      <c r="E77">
        <v>191</v>
      </c>
      <c r="F77">
        <v>3700</v>
      </c>
      <c r="G77" t="s">
        <v>3</v>
      </c>
    </row>
    <row r="78" spans="1:7" x14ac:dyDescent="0.45">
      <c r="A78" t="s">
        <v>0</v>
      </c>
      <c r="B78" t="s">
        <v>1</v>
      </c>
      <c r="C78" s="1">
        <v>372</v>
      </c>
      <c r="D78" s="1">
        <v>194</v>
      </c>
      <c r="E78">
        <v>184</v>
      </c>
      <c r="F78">
        <v>3900</v>
      </c>
      <c r="G78" t="s">
        <v>2</v>
      </c>
    </row>
    <row r="79" spans="1:7" x14ac:dyDescent="0.45">
      <c r="A79" t="s">
        <v>0</v>
      </c>
      <c r="B79" t="s">
        <v>1</v>
      </c>
      <c r="C79" s="1">
        <v>362</v>
      </c>
      <c r="D79" s="1">
        <v>161</v>
      </c>
      <c r="E79">
        <v>187</v>
      </c>
      <c r="F79">
        <v>3550</v>
      </c>
      <c r="G79" t="s">
        <v>3</v>
      </c>
    </row>
    <row r="80" spans="1:7" x14ac:dyDescent="0.45">
      <c r="A80" t="s">
        <v>0</v>
      </c>
      <c r="B80" t="s">
        <v>1</v>
      </c>
      <c r="C80" s="1">
        <v>421</v>
      </c>
      <c r="D80" s="1">
        <v>191</v>
      </c>
      <c r="E80">
        <v>195</v>
      </c>
      <c r="F80">
        <v>4000</v>
      </c>
      <c r="G80" t="s">
        <v>2</v>
      </c>
    </row>
    <row r="81" spans="1:7" x14ac:dyDescent="0.45">
      <c r="A81" t="s">
        <v>0</v>
      </c>
      <c r="B81" t="s">
        <v>1</v>
      </c>
      <c r="C81" s="1">
        <v>346</v>
      </c>
      <c r="D81" s="1">
        <v>172</v>
      </c>
      <c r="E81">
        <v>189</v>
      </c>
      <c r="F81">
        <v>3200</v>
      </c>
      <c r="G81" t="s">
        <v>3</v>
      </c>
    </row>
    <row r="82" spans="1:7" x14ac:dyDescent="0.45">
      <c r="A82" t="s">
        <v>0</v>
      </c>
      <c r="B82" t="s">
        <v>1</v>
      </c>
      <c r="C82" s="1">
        <v>429</v>
      </c>
      <c r="D82" s="1">
        <v>176</v>
      </c>
      <c r="E82">
        <v>196</v>
      </c>
      <c r="F82">
        <v>4700</v>
      </c>
      <c r="G82" t="s">
        <v>2</v>
      </c>
    </row>
    <row r="83" spans="1:7" x14ac:dyDescent="0.45">
      <c r="A83" t="s">
        <v>0</v>
      </c>
      <c r="B83" t="s">
        <v>1</v>
      </c>
      <c r="C83" s="1">
        <v>367</v>
      </c>
      <c r="D83" s="1">
        <v>188</v>
      </c>
      <c r="E83">
        <v>187</v>
      </c>
      <c r="F83">
        <v>3800</v>
      </c>
      <c r="G83" t="s">
        <v>3</v>
      </c>
    </row>
    <row r="84" spans="1:7" x14ac:dyDescent="0.45">
      <c r="A84" t="s">
        <v>0</v>
      </c>
      <c r="B84" t="s">
        <v>1</v>
      </c>
      <c r="C84" s="1">
        <v>351</v>
      </c>
      <c r="D84" s="1">
        <v>194</v>
      </c>
      <c r="E84">
        <v>193</v>
      </c>
      <c r="F84">
        <v>4200</v>
      </c>
      <c r="G84" t="s">
        <v>2</v>
      </c>
    </row>
    <row r="85" spans="1:7" x14ac:dyDescent="0.45">
      <c r="A85" t="s">
        <v>0</v>
      </c>
      <c r="B85" t="s">
        <v>5</v>
      </c>
      <c r="C85" s="1">
        <v>373</v>
      </c>
      <c r="D85" s="1">
        <v>178</v>
      </c>
      <c r="E85">
        <v>191</v>
      </c>
      <c r="F85">
        <v>3350</v>
      </c>
      <c r="G85" t="s">
        <v>3</v>
      </c>
    </row>
    <row r="86" spans="1:7" x14ac:dyDescent="0.45">
      <c r="A86" t="s">
        <v>0</v>
      </c>
      <c r="B86" t="s">
        <v>5</v>
      </c>
      <c r="C86" s="1">
        <v>413</v>
      </c>
      <c r="D86" s="1">
        <v>203</v>
      </c>
      <c r="E86">
        <v>194</v>
      </c>
      <c r="F86">
        <v>3550</v>
      </c>
      <c r="G86" t="s">
        <v>2</v>
      </c>
    </row>
    <row r="87" spans="1:7" x14ac:dyDescent="0.45">
      <c r="A87" t="s">
        <v>0</v>
      </c>
      <c r="B87" t="s">
        <v>5</v>
      </c>
      <c r="C87" s="1">
        <v>363</v>
      </c>
      <c r="D87" s="1">
        <v>195</v>
      </c>
      <c r="E87">
        <v>190</v>
      </c>
      <c r="F87">
        <v>3800</v>
      </c>
      <c r="G87" t="s">
        <v>2</v>
      </c>
    </row>
    <row r="88" spans="1:7" x14ac:dyDescent="0.45">
      <c r="A88" t="s">
        <v>0</v>
      </c>
      <c r="B88" t="s">
        <v>5</v>
      </c>
      <c r="C88" s="1">
        <v>369</v>
      </c>
      <c r="D88" s="1">
        <v>186</v>
      </c>
      <c r="E88">
        <v>189</v>
      </c>
      <c r="F88">
        <v>3500</v>
      </c>
      <c r="G88" t="s">
        <v>3</v>
      </c>
    </row>
    <row r="89" spans="1:7" x14ac:dyDescent="0.45">
      <c r="A89" t="s">
        <v>0</v>
      </c>
      <c r="B89" t="s">
        <v>5</v>
      </c>
      <c r="C89" s="1">
        <v>383</v>
      </c>
      <c r="D89" s="1">
        <v>192</v>
      </c>
      <c r="E89">
        <v>189</v>
      </c>
      <c r="F89">
        <v>3950</v>
      </c>
      <c r="G89" t="s">
        <v>2</v>
      </c>
    </row>
    <row r="90" spans="1:7" x14ac:dyDescent="0.45">
      <c r="A90" t="s">
        <v>0</v>
      </c>
      <c r="B90" t="s">
        <v>5</v>
      </c>
      <c r="C90" s="1">
        <v>389</v>
      </c>
      <c r="D90" s="1">
        <v>188</v>
      </c>
      <c r="E90">
        <v>190</v>
      </c>
      <c r="F90">
        <v>3600</v>
      </c>
      <c r="G90" t="s">
        <v>3</v>
      </c>
    </row>
    <row r="91" spans="1:7" x14ac:dyDescent="0.45">
      <c r="A91" t="s">
        <v>0</v>
      </c>
      <c r="B91" t="s">
        <v>5</v>
      </c>
      <c r="C91" s="1">
        <v>357</v>
      </c>
      <c r="D91" s="1">
        <v>180</v>
      </c>
      <c r="E91">
        <v>202</v>
      </c>
      <c r="F91">
        <v>3550</v>
      </c>
      <c r="G91" t="s">
        <v>3</v>
      </c>
    </row>
    <row r="92" spans="1:7" x14ac:dyDescent="0.45">
      <c r="A92" t="s">
        <v>0</v>
      </c>
      <c r="B92" t="s">
        <v>5</v>
      </c>
      <c r="C92" s="1">
        <v>411</v>
      </c>
      <c r="D92" s="1">
        <v>181</v>
      </c>
      <c r="E92">
        <v>205</v>
      </c>
      <c r="F92">
        <v>4300</v>
      </c>
      <c r="G92" t="s">
        <v>2</v>
      </c>
    </row>
    <row r="93" spans="1:7" x14ac:dyDescent="0.45">
      <c r="A93" t="s">
        <v>0</v>
      </c>
      <c r="B93" t="s">
        <v>5</v>
      </c>
      <c r="C93" s="1">
        <v>340</v>
      </c>
      <c r="D93" s="1">
        <v>171</v>
      </c>
      <c r="E93">
        <v>185</v>
      </c>
      <c r="F93">
        <v>3400</v>
      </c>
      <c r="G93" t="s">
        <v>3</v>
      </c>
    </row>
    <row r="94" spans="1:7" x14ac:dyDescent="0.45">
      <c r="A94" t="s">
        <v>0</v>
      </c>
      <c r="B94" t="s">
        <v>5</v>
      </c>
      <c r="C94" s="1">
        <v>396</v>
      </c>
      <c r="D94" s="1">
        <v>181</v>
      </c>
      <c r="E94">
        <v>186</v>
      </c>
      <c r="F94">
        <v>4450</v>
      </c>
      <c r="G94" t="s">
        <v>2</v>
      </c>
    </row>
    <row r="95" spans="1:7" x14ac:dyDescent="0.45">
      <c r="A95" t="s">
        <v>0</v>
      </c>
      <c r="B95" t="s">
        <v>5</v>
      </c>
      <c r="C95" s="1">
        <v>362</v>
      </c>
      <c r="D95" s="1">
        <v>173</v>
      </c>
      <c r="E95">
        <v>187</v>
      </c>
      <c r="F95">
        <v>3300</v>
      </c>
      <c r="G95" t="s">
        <v>3</v>
      </c>
    </row>
    <row r="96" spans="1:7" x14ac:dyDescent="0.45">
      <c r="A96" t="s">
        <v>0</v>
      </c>
      <c r="B96" t="s">
        <v>5</v>
      </c>
      <c r="C96" s="1">
        <v>408</v>
      </c>
      <c r="D96" s="1">
        <v>189</v>
      </c>
      <c r="E96">
        <v>208</v>
      </c>
      <c r="F96">
        <v>4300</v>
      </c>
      <c r="G96" t="s">
        <v>2</v>
      </c>
    </row>
    <row r="97" spans="1:7" x14ac:dyDescent="0.45">
      <c r="A97" t="s">
        <v>0</v>
      </c>
      <c r="B97" t="s">
        <v>5</v>
      </c>
      <c r="C97" s="1">
        <v>381</v>
      </c>
      <c r="D97" s="1">
        <v>186</v>
      </c>
      <c r="E97">
        <v>190</v>
      </c>
      <c r="F97">
        <v>3700</v>
      </c>
      <c r="G97" t="s">
        <v>3</v>
      </c>
    </row>
    <row r="98" spans="1:7" x14ac:dyDescent="0.45">
      <c r="A98" t="s">
        <v>0</v>
      </c>
      <c r="B98" t="s">
        <v>5</v>
      </c>
      <c r="C98" s="1">
        <v>403</v>
      </c>
      <c r="D98" s="1">
        <v>185</v>
      </c>
      <c r="E98">
        <v>196</v>
      </c>
      <c r="F98">
        <v>4350</v>
      </c>
      <c r="G98" t="s">
        <v>2</v>
      </c>
    </row>
    <row r="99" spans="1:7" x14ac:dyDescent="0.45">
      <c r="A99" t="s">
        <v>0</v>
      </c>
      <c r="B99" t="s">
        <v>5</v>
      </c>
      <c r="C99" s="1">
        <v>331</v>
      </c>
      <c r="D99" s="1">
        <v>161</v>
      </c>
      <c r="E99">
        <v>178</v>
      </c>
      <c r="F99">
        <v>2900</v>
      </c>
      <c r="G99" t="s">
        <v>3</v>
      </c>
    </row>
    <row r="100" spans="1:7" x14ac:dyDescent="0.45">
      <c r="A100" t="s">
        <v>0</v>
      </c>
      <c r="B100" t="s">
        <v>5</v>
      </c>
      <c r="C100" s="1">
        <v>432</v>
      </c>
      <c r="D100" s="1">
        <v>185</v>
      </c>
      <c r="E100">
        <v>192</v>
      </c>
      <c r="F100">
        <v>4100</v>
      </c>
      <c r="G100" t="s">
        <v>2</v>
      </c>
    </row>
    <row r="101" spans="1:7" x14ac:dyDescent="0.45">
      <c r="A101" t="s">
        <v>0</v>
      </c>
      <c r="B101" t="s">
        <v>4</v>
      </c>
      <c r="C101" s="1">
        <v>350</v>
      </c>
      <c r="D101" s="1">
        <v>179</v>
      </c>
      <c r="E101">
        <v>192</v>
      </c>
      <c r="F101">
        <v>3725</v>
      </c>
      <c r="G101" t="s">
        <v>3</v>
      </c>
    </row>
    <row r="102" spans="1:7" x14ac:dyDescent="0.45">
      <c r="A102" t="s">
        <v>0</v>
      </c>
      <c r="B102" t="s">
        <v>4</v>
      </c>
      <c r="C102" s="1">
        <v>410</v>
      </c>
      <c r="D102" s="1">
        <v>200</v>
      </c>
      <c r="E102">
        <v>203</v>
      </c>
      <c r="F102">
        <v>4725</v>
      </c>
      <c r="G102" t="s">
        <v>2</v>
      </c>
    </row>
    <row r="103" spans="1:7" x14ac:dyDescent="0.45">
      <c r="A103" t="s">
        <v>0</v>
      </c>
      <c r="B103" t="s">
        <v>4</v>
      </c>
      <c r="C103" s="1">
        <v>377</v>
      </c>
      <c r="D103" s="1">
        <v>160</v>
      </c>
      <c r="E103">
        <v>183</v>
      </c>
      <c r="F103">
        <v>3075</v>
      </c>
      <c r="G103" t="s">
        <v>3</v>
      </c>
    </row>
    <row r="104" spans="1:7" x14ac:dyDescent="0.45">
      <c r="A104" t="s">
        <v>0</v>
      </c>
      <c r="B104" t="s">
        <v>4</v>
      </c>
      <c r="C104" s="1">
        <v>378</v>
      </c>
      <c r="D104" s="1">
        <v>200</v>
      </c>
      <c r="E104">
        <v>190</v>
      </c>
      <c r="F104">
        <v>4250</v>
      </c>
      <c r="G104" t="s">
        <v>2</v>
      </c>
    </row>
    <row r="105" spans="1:7" x14ac:dyDescent="0.45">
      <c r="A105" t="s">
        <v>0</v>
      </c>
      <c r="B105" t="s">
        <v>4</v>
      </c>
      <c r="C105" s="1">
        <v>379</v>
      </c>
      <c r="D105" s="1">
        <v>186</v>
      </c>
      <c r="E105">
        <v>193</v>
      </c>
      <c r="F105">
        <v>2925</v>
      </c>
      <c r="G105" t="s">
        <v>3</v>
      </c>
    </row>
    <row r="106" spans="1:7" x14ac:dyDescent="0.45">
      <c r="A106" t="s">
        <v>0</v>
      </c>
      <c r="B106" t="s">
        <v>4</v>
      </c>
      <c r="C106" s="1">
        <v>397</v>
      </c>
      <c r="D106" s="1">
        <v>189</v>
      </c>
      <c r="E106">
        <v>184</v>
      </c>
      <c r="F106">
        <v>3550</v>
      </c>
      <c r="G106" t="s">
        <v>2</v>
      </c>
    </row>
    <row r="107" spans="1:7" x14ac:dyDescent="0.45">
      <c r="A107" t="s">
        <v>0</v>
      </c>
      <c r="B107" t="s">
        <v>4</v>
      </c>
      <c r="C107" s="1">
        <v>386</v>
      </c>
      <c r="D107" s="1">
        <v>172</v>
      </c>
      <c r="E107">
        <v>199</v>
      </c>
      <c r="F107">
        <v>3750</v>
      </c>
      <c r="G107" t="s">
        <v>3</v>
      </c>
    </row>
    <row r="108" spans="1:7" x14ac:dyDescent="0.45">
      <c r="A108" t="s">
        <v>0</v>
      </c>
      <c r="B108" t="s">
        <v>4</v>
      </c>
      <c r="C108" s="1">
        <v>382</v>
      </c>
      <c r="D108" s="1">
        <v>200</v>
      </c>
      <c r="E108">
        <v>190</v>
      </c>
      <c r="F108">
        <v>3900</v>
      </c>
      <c r="G108" t="s">
        <v>2</v>
      </c>
    </row>
    <row r="109" spans="1:7" x14ac:dyDescent="0.45">
      <c r="A109" t="s">
        <v>0</v>
      </c>
      <c r="B109" t="s">
        <v>4</v>
      </c>
      <c r="C109" s="1">
        <v>381</v>
      </c>
      <c r="D109" s="1">
        <v>170</v>
      </c>
      <c r="E109">
        <v>181</v>
      </c>
      <c r="F109">
        <v>3175</v>
      </c>
      <c r="G109" t="s">
        <v>3</v>
      </c>
    </row>
    <row r="110" spans="1:7" x14ac:dyDescent="0.45">
      <c r="A110" t="s">
        <v>0</v>
      </c>
      <c r="B110" t="s">
        <v>4</v>
      </c>
      <c r="C110" s="1">
        <v>432</v>
      </c>
      <c r="D110" s="1">
        <v>190</v>
      </c>
      <c r="E110">
        <v>197</v>
      </c>
      <c r="F110">
        <v>4775</v>
      </c>
      <c r="G110" t="s">
        <v>2</v>
      </c>
    </row>
    <row r="111" spans="1:7" x14ac:dyDescent="0.45">
      <c r="A111" t="s">
        <v>0</v>
      </c>
      <c r="B111" t="s">
        <v>4</v>
      </c>
      <c r="C111" s="1">
        <v>381</v>
      </c>
      <c r="D111" s="1">
        <v>165</v>
      </c>
      <c r="E111">
        <v>198</v>
      </c>
      <c r="F111">
        <v>3825</v>
      </c>
      <c r="G111" t="s">
        <v>3</v>
      </c>
    </row>
    <row r="112" spans="1:7" x14ac:dyDescent="0.45">
      <c r="A112" t="s">
        <v>0</v>
      </c>
      <c r="B112" t="s">
        <v>4</v>
      </c>
      <c r="C112" s="1">
        <v>456</v>
      </c>
      <c r="D112" s="1">
        <v>203</v>
      </c>
      <c r="E112">
        <v>191</v>
      </c>
      <c r="F112">
        <v>4600</v>
      </c>
      <c r="G112" t="s">
        <v>2</v>
      </c>
    </row>
    <row r="113" spans="1:7" x14ac:dyDescent="0.45">
      <c r="A113" t="s">
        <v>0</v>
      </c>
      <c r="B113" t="s">
        <v>4</v>
      </c>
      <c r="C113" s="1">
        <v>397</v>
      </c>
      <c r="D113" s="1">
        <v>177</v>
      </c>
      <c r="E113">
        <v>193</v>
      </c>
      <c r="F113">
        <v>3200</v>
      </c>
      <c r="G113" t="s">
        <v>3</v>
      </c>
    </row>
    <row r="114" spans="1:7" x14ac:dyDescent="0.45">
      <c r="A114" t="s">
        <v>0</v>
      </c>
      <c r="B114" t="s">
        <v>4</v>
      </c>
      <c r="C114" s="1">
        <v>422</v>
      </c>
      <c r="D114" s="1">
        <v>195</v>
      </c>
      <c r="E114">
        <v>197</v>
      </c>
      <c r="F114">
        <v>4275</v>
      </c>
      <c r="G114" t="s">
        <v>2</v>
      </c>
    </row>
    <row r="115" spans="1:7" x14ac:dyDescent="0.45">
      <c r="A115" t="s">
        <v>0</v>
      </c>
      <c r="B115" t="s">
        <v>4</v>
      </c>
      <c r="C115" s="1">
        <v>396</v>
      </c>
      <c r="D115" s="1">
        <v>207</v>
      </c>
      <c r="E115">
        <v>191</v>
      </c>
      <c r="F115">
        <v>3900</v>
      </c>
      <c r="G115" t="s">
        <v>3</v>
      </c>
    </row>
    <row r="116" spans="1:7" x14ac:dyDescent="0.45">
      <c r="A116" t="s">
        <v>0</v>
      </c>
      <c r="B116" t="s">
        <v>4</v>
      </c>
      <c r="C116" s="1">
        <v>427</v>
      </c>
      <c r="D116" s="1">
        <v>183</v>
      </c>
      <c r="E116">
        <v>196</v>
      </c>
      <c r="F116">
        <v>4075</v>
      </c>
      <c r="G116" t="s">
        <v>2</v>
      </c>
    </row>
    <row r="117" spans="1:7" x14ac:dyDescent="0.45">
      <c r="A117" t="s">
        <v>0</v>
      </c>
      <c r="B117" t="s">
        <v>1</v>
      </c>
      <c r="C117" s="1">
        <v>386</v>
      </c>
      <c r="D117" s="1">
        <v>170</v>
      </c>
      <c r="E117">
        <v>188</v>
      </c>
      <c r="F117">
        <v>2900</v>
      </c>
      <c r="G117" t="s">
        <v>3</v>
      </c>
    </row>
    <row r="118" spans="1:7" x14ac:dyDescent="0.45">
      <c r="A118" t="s">
        <v>0</v>
      </c>
      <c r="B118" t="s">
        <v>1</v>
      </c>
      <c r="C118" s="1">
        <v>373</v>
      </c>
      <c r="D118" s="1">
        <v>205</v>
      </c>
      <c r="E118">
        <v>199</v>
      </c>
      <c r="F118">
        <v>3775</v>
      </c>
      <c r="G118" t="s">
        <v>2</v>
      </c>
    </row>
    <row r="119" spans="1:7" x14ac:dyDescent="0.45">
      <c r="A119" t="s">
        <v>0</v>
      </c>
      <c r="B119" t="s">
        <v>1</v>
      </c>
      <c r="C119" s="1">
        <v>357</v>
      </c>
      <c r="D119" s="1">
        <v>170</v>
      </c>
      <c r="E119">
        <v>189</v>
      </c>
      <c r="F119">
        <v>3350</v>
      </c>
      <c r="G119" t="s">
        <v>3</v>
      </c>
    </row>
    <row r="120" spans="1:7" x14ac:dyDescent="0.45">
      <c r="A120" t="s">
        <v>0</v>
      </c>
      <c r="B120" t="s">
        <v>1</v>
      </c>
      <c r="C120" s="1">
        <v>411</v>
      </c>
      <c r="D120" s="1">
        <v>186</v>
      </c>
      <c r="E120">
        <v>189</v>
      </c>
      <c r="F120">
        <v>3325</v>
      </c>
      <c r="G120" t="s">
        <v>2</v>
      </c>
    </row>
    <row r="121" spans="1:7" x14ac:dyDescent="0.45">
      <c r="A121" t="s">
        <v>0</v>
      </c>
      <c r="B121" t="s">
        <v>1</v>
      </c>
      <c r="C121" s="1">
        <v>362</v>
      </c>
      <c r="D121" s="1">
        <v>172</v>
      </c>
      <c r="E121">
        <v>187</v>
      </c>
      <c r="F121">
        <v>3150</v>
      </c>
      <c r="G121" t="s">
        <v>3</v>
      </c>
    </row>
    <row r="122" spans="1:7" x14ac:dyDescent="0.45">
      <c r="A122" t="s">
        <v>0</v>
      </c>
      <c r="B122" t="s">
        <v>1</v>
      </c>
      <c r="C122" s="1">
        <v>377</v>
      </c>
      <c r="D122" s="1">
        <v>198</v>
      </c>
      <c r="E122">
        <v>198</v>
      </c>
      <c r="F122">
        <v>3500</v>
      </c>
      <c r="G122" t="s">
        <v>2</v>
      </c>
    </row>
    <row r="123" spans="1:7" x14ac:dyDescent="0.45">
      <c r="A123" t="s">
        <v>0</v>
      </c>
      <c r="B123" t="s">
        <v>1</v>
      </c>
      <c r="C123" s="1">
        <v>402</v>
      </c>
      <c r="D123" s="1">
        <v>170</v>
      </c>
      <c r="E123">
        <v>176</v>
      </c>
      <c r="F123">
        <v>3450</v>
      </c>
      <c r="G123" t="s">
        <v>3</v>
      </c>
    </row>
    <row r="124" spans="1:7" x14ac:dyDescent="0.45">
      <c r="A124" t="s">
        <v>0</v>
      </c>
      <c r="B124" t="s">
        <v>1</v>
      </c>
      <c r="C124" s="1">
        <v>414</v>
      </c>
      <c r="D124" s="1">
        <v>185</v>
      </c>
      <c r="E124">
        <v>202</v>
      </c>
      <c r="F124">
        <v>3875</v>
      </c>
      <c r="G124" t="s">
        <v>2</v>
      </c>
    </row>
    <row r="125" spans="1:7" x14ac:dyDescent="0.45">
      <c r="A125" t="s">
        <v>0</v>
      </c>
      <c r="B125" t="s">
        <v>1</v>
      </c>
      <c r="C125" s="1">
        <v>352</v>
      </c>
      <c r="D125" s="1">
        <v>159</v>
      </c>
      <c r="E125">
        <v>186</v>
      </c>
      <c r="F125">
        <v>3050</v>
      </c>
      <c r="G125" t="s">
        <v>3</v>
      </c>
    </row>
    <row r="126" spans="1:7" x14ac:dyDescent="0.45">
      <c r="A126" t="s">
        <v>0</v>
      </c>
      <c r="B126" t="s">
        <v>1</v>
      </c>
      <c r="C126" s="1">
        <v>406</v>
      </c>
      <c r="D126" s="1">
        <v>190</v>
      </c>
      <c r="E126">
        <v>199</v>
      </c>
      <c r="F126">
        <v>4000</v>
      </c>
      <c r="G126" t="s">
        <v>2</v>
      </c>
    </row>
    <row r="127" spans="1:7" x14ac:dyDescent="0.45">
      <c r="A127" t="s">
        <v>0</v>
      </c>
      <c r="B127" t="s">
        <v>1</v>
      </c>
      <c r="C127" s="1">
        <v>388</v>
      </c>
      <c r="D127" s="1">
        <v>176</v>
      </c>
      <c r="E127">
        <v>191</v>
      </c>
      <c r="F127">
        <v>3275</v>
      </c>
      <c r="G127" t="s">
        <v>3</v>
      </c>
    </row>
    <row r="128" spans="1:7" x14ac:dyDescent="0.45">
      <c r="A128" t="s">
        <v>0</v>
      </c>
      <c r="B128" t="s">
        <v>1</v>
      </c>
      <c r="C128" s="1">
        <v>415</v>
      </c>
      <c r="D128" s="1">
        <v>183</v>
      </c>
      <c r="E128">
        <v>195</v>
      </c>
      <c r="F128">
        <v>4300</v>
      </c>
      <c r="G128" t="s">
        <v>2</v>
      </c>
    </row>
    <row r="129" spans="1:7" x14ac:dyDescent="0.45">
      <c r="A129" t="s">
        <v>0</v>
      </c>
      <c r="B129" t="s">
        <v>1</v>
      </c>
      <c r="C129" s="1">
        <v>390</v>
      </c>
      <c r="D129" s="1">
        <v>171</v>
      </c>
      <c r="E129">
        <v>191</v>
      </c>
      <c r="F129">
        <v>3050</v>
      </c>
      <c r="G129" t="s">
        <v>3</v>
      </c>
    </row>
    <row r="130" spans="1:7" x14ac:dyDescent="0.45">
      <c r="A130" t="s">
        <v>0</v>
      </c>
      <c r="B130" t="s">
        <v>1</v>
      </c>
      <c r="C130" s="1">
        <v>441</v>
      </c>
      <c r="D130" s="1">
        <v>180</v>
      </c>
      <c r="E130">
        <v>210</v>
      </c>
      <c r="F130">
        <v>4000</v>
      </c>
      <c r="G130" t="s">
        <v>2</v>
      </c>
    </row>
    <row r="131" spans="1:7" x14ac:dyDescent="0.45">
      <c r="A131" t="s">
        <v>0</v>
      </c>
      <c r="B131" t="s">
        <v>1</v>
      </c>
      <c r="C131" s="1">
        <v>385</v>
      </c>
      <c r="D131" s="1">
        <v>179</v>
      </c>
      <c r="E131">
        <v>190</v>
      </c>
      <c r="F131">
        <v>3325</v>
      </c>
      <c r="G131" t="s">
        <v>3</v>
      </c>
    </row>
    <row r="132" spans="1:7" x14ac:dyDescent="0.45">
      <c r="A132" t="s">
        <v>0</v>
      </c>
      <c r="B132" t="s">
        <v>1</v>
      </c>
      <c r="C132" s="1">
        <v>431</v>
      </c>
      <c r="D132" s="1">
        <v>192</v>
      </c>
      <c r="E132">
        <v>197</v>
      </c>
      <c r="F132">
        <v>3500</v>
      </c>
      <c r="G132" t="s">
        <v>2</v>
      </c>
    </row>
    <row r="133" spans="1:7" x14ac:dyDescent="0.45">
      <c r="A133" t="s">
        <v>0</v>
      </c>
      <c r="B133" t="s">
        <v>5</v>
      </c>
      <c r="C133" s="1">
        <v>368</v>
      </c>
      <c r="D133" s="1">
        <v>185</v>
      </c>
      <c r="E133">
        <v>193</v>
      </c>
      <c r="F133">
        <v>3500</v>
      </c>
      <c r="G133" t="s">
        <v>3</v>
      </c>
    </row>
    <row r="134" spans="1:7" x14ac:dyDescent="0.45">
      <c r="A134" t="s">
        <v>0</v>
      </c>
      <c r="B134" t="s">
        <v>5</v>
      </c>
      <c r="C134" s="1">
        <v>375</v>
      </c>
      <c r="D134" s="1">
        <v>185</v>
      </c>
      <c r="E134">
        <v>199</v>
      </c>
      <c r="F134">
        <v>4475</v>
      </c>
      <c r="G134" t="s">
        <v>2</v>
      </c>
    </row>
    <row r="135" spans="1:7" x14ac:dyDescent="0.45">
      <c r="A135" t="s">
        <v>0</v>
      </c>
      <c r="B135" t="s">
        <v>5</v>
      </c>
      <c r="C135" s="1">
        <v>381</v>
      </c>
      <c r="D135" s="1">
        <v>176</v>
      </c>
      <c r="E135">
        <v>187</v>
      </c>
      <c r="F135">
        <v>3425</v>
      </c>
      <c r="G135" t="s">
        <v>3</v>
      </c>
    </row>
    <row r="136" spans="1:7" x14ac:dyDescent="0.45">
      <c r="A136" t="s">
        <v>0</v>
      </c>
      <c r="B136" t="s">
        <v>5</v>
      </c>
      <c r="C136" s="1">
        <v>411</v>
      </c>
      <c r="D136" s="1">
        <v>175</v>
      </c>
      <c r="E136">
        <v>190</v>
      </c>
      <c r="F136">
        <v>3900</v>
      </c>
      <c r="G136" t="s">
        <v>2</v>
      </c>
    </row>
    <row r="137" spans="1:7" x14ac:dyDescent="0.45">
      <c r="A137" t="s">
        <v>0</v>
      </c>
      <c r="B137" t="s">
        <v>5</v>
      </c>
      <c r="C137" s="1">
        <v>356</v>
      </c>
      <c r="D137" s="1">
        <v>175</v>
      </c>
      <c r="E137">
        <v>191</v>
      </c>
      <c r="F137">
        <v>3175</v>
      </c>
      <c r="G137" t="s">
        <v>3</v>
      </c>
    </row>
    <row r="138" spans="1:7" x14ac:dyDescent="0.45">
      <c r="A138" t="s">
        <v>0</v>
      </c>
      <c r="B138" t="s">
        <v>5</v>
      </c>
      <c r="C138" s="1">
        <v>402</v>
      </c>
      <c r="D138" s="1">
        <v>201</v>
      </c>
      <c r="E138">
        <v>200</v>
      </c>
      <c r="F138">
        <v>3975</v>
      </c>
      <c r="G138" t="s">
        <v>2</v>
      </c>
    </row>
    <row r="139" spans="1:7" x14ac:dyDescent="0.45">
      <c r="A139" t="s">
        <v>0</v>
      </c>
      <c r="B139" t="s">
        <v>5</v>
      </c>
      <c r="C139" s="1">
        <v>370</v>
      </c>
      <c r="D139" s="1">
        <v>165</v>
      </c>
      <c r="E139">
        <v>185</v>
      </c>
      <c r="F139">
        <v>3400</v>
      </c>
      <c r="G139" t="s">
        <v>3</v>
      </c>
    </row>
    <row r="140" spans="1:7" x14ac:dyDescent="0.45">
      <c r="A140" t="s">
        <v>0</v>
      </c>
      <c r="B140" t="s">
        <v>5</v>
      </c>
      <c r="C140" s="1">
        <v>397</v>
      </c>
      <c r="D140" s="1">
        <v>179</v>
      </c>
      <c r="E140">
        <v>193</v>
      </c>
      <c r="F140">
        <v>4250</v>
      </c>
      <c r="G140" t="s">
        <v>2</v>
      </c>
    </row>
    <row r="141" spans="1:7" x14ac:dyDescent="0.45">
      <c r="A141" t="s">
        <v>0</v>
      </c>
      <c r="B141" t="s">
        <v>5</v>
      </c>
      <c r="C141" s="1">
        <v>402</v>
      </c>
      <c r="D141" s="1">
        <v>171</v>
      </c>
      <c r="E141">
        <v>193</v>
      </c>
      <c r="F141">
        <v>3400</v>
      </c>
      <c r="G141" t="s">
        <v>3</v>
      </c>
    </row>
    <row r="142" spans="1:7" x14ac:dyDescent="0.45">
      <c r="A142" t="s">
        <v>0</v>
      </c>
      <c r="B142" t="s">
        <v>5</v>
      </c>
      <c r="C142" s="1">
        <v>406</v>
      </c>
      <c r="D142" s="1">
        <v>172</v>
      </c>
      <c r="E142">
        <v>187</v>
      </c>
      <c r="F142">
        <v>3475</v>
      </c>
      <c r="G142" t="s">
        <v>2</v>
      </c>
    </row>
    <row r="143" spans="1:7" x14ac:dyDescent="0.45">
      <c r="A143" t="s">
        <v>0</v>
      </c>
      <c r="B143" t="s">
        <v>5</v>
      </c>
      <c r="C143" s="1">
        <v>321</v>
      </c>
      <c r="D143" s="1">
        <v>155</v>
      </c>
      <c r="E143">
        <v>188</v>
      </c>
      <c r="F143">
        <v>3050</v>
      </c>
      <c r="G143" t="s">
        <v>3</v>
      </c>
    </row>
    <row r="144" spans="1:7" x14ac:dyDescent="0.45">
      <c r="A144" t="s">
        <v>0</v>
      </c>
      <c r="B144" t="s">
        <v>5</v>
      </c>
      <c r="C144" s="1">
        <v>407</v>
      </c>
      <c r="D144" s="1">
        <v>170</v>
      </c>
      <c r="E144">
        <v>190</v>
      </c>
      <c r="F144">
        <v>3725</v>
      </c>
      <c r="G144" t="s">
        <v>2</v>
      </c>
    </row>
    <row r="145" spans="1:7" x14ac:dyDescent="0.45">
      <c r="A145" t="s">
        <v>0</v>
      </c>
      <c r="B145" t="s">
        <v>5</v>
      </c>
      <c r="C145" s="1">
        <v>373</v>
      </c>
      <c r="D145" s="1">
        <v>168</v>
      </c>
      <c r="E145">
        <v>192</v>
      </c>
      <c r="F145">
        <v>3000</v>
      </c>
      <c r="G145" t="s">
        <v>3</v>
      </c>
    </row>
    <row r="146" spans="1:7" x14ac:dyDescent="0.45">
      <c r="A146" t="s">
        <v>0</v>
      </c>
      <c r="B146" t="s">
        <v>5</v>
      </c>
      <c r="C146" s="1">
        <v>390</v>
      </c>
      <c r="D146" s="1">
        <v>187</v>
      </c>
      <c r="E146">
        <v>185</v>
      </c>
      <c r="F146">
        <v>3650</v>
      </c>
      <c r="G146" t="s">
        <v>2</v>
      </c>
    </row>
    <row r="147" spans="1:7" x14ac:dyDescent="0.45">
      <c r="A147" t="s">
        <v>0</v>
      </c>
      <c r="B147" t="s">
        <v>5</v>
      </c>
      <c r="C147" s="1">
        <v>392</v>
      </c>
      <c r="D147" s="1">
        <v>186</v>
      </c>
      <c r="E147">
        <v>190</v>
      </c>
      <c r="F147">
        <v>4250</v>
      </c>
      <c r="G147" t="s">
        <v>2</v>
      </c>
    </row>
    <row r="148" spans="1:7" x14ac:dyDescent="0.45">
      <c r="A148" t="s">
        <v>0</v>
      </c>
      <c r="B148" t="s">
        <v>5</v>
      </c>
      <c r="C148" s="1">
        <v>366</v>
      </c>
      <c r="D148" s="1">
        <v>184</v>
      </c>
      <c r="E148">
        <v>184</v>
      </c>
      <c r="F148">
        <v>3475</v>
      </c>
      <c r="G148" t="s">
        <v>3</v>
      </c>
    </row>
    <row r="149" spans="1:7" x14ac:dyDescent="0.45">
      <c r="A149" t="s">
        <v>0</v>
      </c>
      <c r="B149" t="s">
        <v>5</v>
      </c>
      <c r="C149" s="1">
        <v>360</v>
      </c>
      <c r="D149" s="1">
        <v>178</v>
      </c>
      <c r="E149">
        <v>195</v>
      </c>
      <c r="F149">
        <v>3450</v>
      </c>
      <c r="G149" t="s">
        <v>3</v>
      </c>
    </row>
    <row r="150" spans="1:7" x14ac:dyDescent="0.45">
      <c r="A150" t="s">
        <v>0</v>
      </c>
      <c r="B150" t="s">
        <v>5</v>
      </c>
      <c r="C150" s="1">
        <v>378</v>
      </c>
      <c r="D150" s="1">
        <v>181</v>
      </c>
      <c r="E150">
        <v>193</v>
      </c>
      <c r="F150">
        <v>3750</v>
      </c>
      <c r="G150" t="s">
        <v>2</v>
      </c>
    </row>
    <row r="151" spans="1:7" x14ac:dyDescent="0.45">
      <c r="A151" t="s">
        <v>0</v>
      </c>
      <c r="B151" t="s">
        <v>5</v>
      </c>
      <c r="C151" s="1">
        <v>360</v>
      </c>
      <c r="D151" s="1">
        <v>171</v>
      </c>
      <c r="E151">
        <v>187</v>
      </c>
      <c r="F151">
        <v>3700</v>
      </c>
      <c r="G151" t="s">
        <v>3</v>
      </c>
    </row>
    <row r="152" spans="1:7" x14ac:dyDescent="0.45">
      <c r="A152" t="s">
        <v>0</v>
      </c>
      <c r="B152" t="s">
        <v>5</v>
      </c>
      <c r="C152" s="1">
        <v>415</v>
      </c>
      <c r="D152" s="1">
        <v>185</v>
      </c>
      <c r="E152">
        <v>201</v>
      </c>
      <c r="F152">
        <v>4000</v>
      </c>
      <c r="G152" t="s">
        <v>2</v>
      </c>
    </row>
    <row r="153" spans="1:7" x14ac:dyDescent="0.45">
      <c r="A153" t="s">
        <v>6</v>
      </c>
      <c r="B153" t="s">
        <v>5</v>
      </c>
      <c r="C153" s="1">
        <v>465</v>
      </c>
      <c r="D153" s="1">
        <v>179</v>
      </c>
      <c r="E153">
        <v>192</v>
      </c>
      <c r="F153">
        <v>3500</v>
      </c>
      <c r="G153" t="s">
        <v>3</v>
      </c>
    </row>
    <row r="154" spans="1:7" x14ac:dyDescent="0.45">
      <c r="A154" t="s">
        <v>6</v>
      </c>
      <c r="B154" t="s">
        <v>5</v>
      </c>
      <c r="C154" s="1">
        <v>500</v>
      </c>
      <c r="D154" s="1">
        <v>195</v>
      </c>
      <c r="E154">
        <v>196</v>
      </c>
      <c r="F154">
        <v>3900</v>
      </c>
      <c r="G154" t="s">
        <v>2</v>
      </c>
    </row>
    <row r="155" spans="1:7" x14ac:dyDescent="0.45">
      <c r="A155" t="s">
        <v>6</v>
      </c>
      <c r="B155" t="s">
        <v>5</v>
      </c>
      <c r="C155" s="1">
        <v>513</v>
      </c>
      <c r="D155" s="1">
        <v>192</v>
      </c>
      <c r="E155">
        <v>193</v>
      </c>
      <c r="F155">
        <v>3650</v>
      </c>
      <c r="G155" t="s">
        <v>2</v>
      </c>
    </row>
    <row r="156" spans="1:7" x14ac:dyDescent="0.45">
      <c r="A156" t="s">
        <v>6</v>
      </c>
      <c r="B156" t="s">
        <v>5</v>
      </c>
      <c r="C156" s="1">
        <v>454</v>
      </c>
      <c r="D156" s="1">
        <v>187</v>
      </c>
      <c r="E156">
        <v>188</v>
      </c>
      <c r="F156">
        <v>3525</v>
      </c>
      <c r="G156" t="s">
        <v>3</v>
      </c>
    </row>
    <row r="157" spans="1:7" x14ac:dyDescent="0.45">
      <c r="A157" t="s">
        <v>6</v>
      </c>
      <c r="B157" t="s">
        <v>5</v>
      </c>
      <c r="C157" s="1">
        <v>527</v>
      </c>
      <c r="D157" s="1">
        <v>198</v>
      </c>
      <c r="E157">
        <v>197</v>
      </c>
      <c r="F157">
        <v>3725</v>
      </c>
      <c r="G157" t="s">
        <v>2</v>
      </c>
    </row>
    <row r="158" spans="1:7" x14ac:dyDescent="0.45">
      <c r="A158" t="s">
        <v>6</v>
      </c>
      <c r="B158" t="s">
        <v>5</v>
      </c>
      <c r="C158" s="1">
        <v>452</v>
      </c>
      <c r="D158" s="1">
        <v>178</v>
      </c>
      <c r="E158">
        <v>198</v>
      </c>
      <c r="F158">
        <v>3950</v>
      </c>
      <c r="G158" t="s">
        <v>3</v>
      </c>
    </row>
    <row r="159" spans="1:7" x14ac:dyDescent="0.45">
      <c r="A159" t="s">
        <v>6</v>
      </c>
      <c r="B159" t="s">
        <v>5</v>
      </c>
      <c r="C159" s="1">
        <v>461</v>
      </c>
      <c r="D159" s="1">
        <v>182</v>
      </c>
      <c r="E159">
        <v>178</v>
      </c>
      <c r="F159">
        <v>3250</v>
      </c>
      <c r="G159" t="s">
        <v>3</v>
      </c>
    </row>
    <row r="160" spans="1:7" x14ac:dyDescent="0.45">
      <c r="A160" t="s">
        <v>6</v>
      </c>
      <c r="B160" t="s">
        <v>5</v>
      </c>
      <c r="C160" s="1">
        <v>513</v>
      </c>
      <c r="D160" s="1">
        <v>182</v>
      </c>
      <c r="E160">
        <v>197</v>
      </c>
      <c r="F160">
        <v>3750</v>
      </c>
      <c r="G160" t="s">
        <v>2</v>
      </c>
    </row>
    <row r="161" spans="1:7" x14ac:dyDescent="0.45">
      <c r="A161" t="s">
        <v>6</v>
      </c>
      <c r="B161" t="s">
        <v>5</v>
      </c>
      <c r="C161" s="1">
        <v>460</v>
      </c>
      <c r="D161" s="1">
        <v>189</v>
      </c>
      <c r="E161">
        <v>195</v>
      </c>
      <c r="F161">
        <v>4150</v>
      </c>
      <c r="G161" t="s">
        <v>3</v>
      </c>
    </row>
    <row r="162" spans="1:7" x14ac:dyDescent="0.45">
      <c r="A162" t="s">
        <v>6</v>
      </c>
      <c r="B162" t="s">
        <v>5</v>
      </c>
      <c r="C162" s="1">
        <v>513</v>
      </c>
      <c r="D162" s="1">
        <v>199</v>
      </c>
      <c r="E162">
        <v>198</v>
      </c>
      <c r="F162">
        <v>3700</v>
      </c>
      <c r="G162" t="s">
        <v>2</v>
      </c>
    </row>
    <row r="163" spans="1:7" x14ac:dyDescent="0.45">
      <c r="A163" t="s">
        <v>6</v>
      </c>
      <c r="B163" t="s">
        <v>5</v>
      </c>
      <c r="C163" s="1">
        <v>466</v>
      </c>
      <c r="D163" s="1">
        <v>178</v>
      </c>
      <c r="E163">
        <v>193</v>
      </c>
      <c r="F163">
        <v>3800</v>
      </c>
      <c r="G163" t="s">
        <v>3</v>
      </c>
    </row>
    <row r="164" spans="1:7" x14ac:dyDescent="0.45">
      <c r="A164" t="s">
        <v>6</v>
      </c>
      <c r="B164" t="s">
        <v>5</v>
      </c>
      <c r="C164" s="1">
        <v>517</v>
      </c>
      <c r="D164" s="1">
        <v>203</v>
      </c>
      <c r="E164">
        <v>194</v>
      </c>
      <c r="F164">
        <v>3775</v>
      </c>
      <c r="G164" t="s">
        <v>2</v>
      </c>
    </row>
    <row r="165" spans="1:7" x14ac:dyDescent="0.45">
      <c r="A165" t="s">
        <v>6</v>
      </c>
      <c r="B165" t="s">
        <v>5</v>
      </c>
      <c r="C165" s="1">
        <v>470</v>
      </c>
      <c r="D165" s="1">
        <v>173</v>
      </c>
      <c r="E165">
        <v>185</v>
      </c>
      <c r="F165">
        <v>3700</v>
      </c>
      <c r="G165" t="s">
        <v>3</v>
      </c>
    </row>
    <row r="166" spans="1:7" x14ac:dyDescent="0.45">
      <c r="A166" t="s">
        <v>6</v>
      </c>
      <c r="B166" t="s">
        <v>5</v>
      </c>
      <c r="C166" s="1">
        <v>520</v>
      </c>
      <c r="D166" s="1">
        <v>181</v>
      </c>
      <c r="E166">
        <v>201</v>
      </c>
      <c r="F166">
        <v>4050</v>
      </c>
      <c r="G166" t="s">
        <v>2</v>
      </c>
    </row>
    <row r="167" spans="1:7" x14ac:dyDescent="0.45">
      <c r="A167" t="s">
        <v>6</v>
      </c>
      <c r="B167" t="s">
        <v>5</v>
      </c>
      <c r="C167" s="1">
        <v>459</v>
      </c>
      <c r="D167" s="1">
        <v>171</v>
      </c>
      <c r="E167">
        <v>190</v>
      </c>
      <c r="F167">
        <v>3575</v>
      </c>
      <c r="G167" t="s">
        <v>3</v>
      </c>
    </row>
    <row r="168" spans="1:7" x14ac:dyDescent="0.45">
      <c r="A168" t="s">
        <v>6</v>
      </c>
      <c r="B168" t="s">
        <v>5</v>
      </c>
      <c r="C168" s="1">
        <v>505</v>
      </c>
      <c r="D168" s="1">
        <v>196</v>
      </c>
      <c r="E168">
        <v>201</v>
      </c>
      <c r="F168">
        <v>4050</v>
      </c>
      <c r="G168" t="s">
        <v>2</v>
      </c>
    </row>
    <row r="169" spans="1:7" x14ac:dyDescent="0.45">
      <c r="A169" t="s">
        <v>6</v>
      </c>
      <c r="B169" t="s">
        <v>5</v>
      </c>
      <c r="C169" s="1">
        <v>503</v>
      </c>
      <c r="D169" s="1">
        <v>200</v>
      </c>
      <c r="E169">
        <v>197</v>
      </c>
      <c r="F169">
        <v>3300</v>
      </c>
      <c r="G169" t="s">
        <v>2</v>
      </c>
    </row>
    <row r="170" spans="1:7" x14ac:dyDescent="0.45">
      <c r="A170" t="s">
        <v>6</v>
      </c>
      <c r="B170" t="s">
        <v>5</v>
      </c>
      <c r="C170" s="1">
        <v>580</v>
      </c>
      <c r="D170" s="1">
        <v>178</v>
      </c>
      <c r="E170">
        <v>181</v>
      </c>
      <c r="F170">
        <v>3700</v>
      </c>
      <c r="G170" t="s">
        <v>3</v>
      </c>
    </row>
    <row r="171" spans="1:7" x14ac:dyDescent="0.45">
      <c r="A171" t="s">
        <v>6</v>
      </c>
      <c r="B171" t="s">
        <v>5</v>
      </c>
      <c r="C171" s="1">
        <v>464</v>
      </c>
      <c r="D171" s="1">
        <v>186</v>
      </c>
      <c r="E171">
        <v>190</v>
      </c>
      <c r="F171">
        <v>3450</v>
      </c>
      <c r="G171" t="s">
        <v>3</v>
      </c>
    </row>
    <row r="172" spans="1:7" x14ac:dyDescent="0.45">
      <c r="A172" t="s">
        <v>6</v>
      </c>
      <c r="B172" t="s">
        <v>5</v>
      </c>
      <c r="C172" s="1">
        <v>492</v>
      </c>
      <c r="D172" s="1">
        <v>182</v>
      </c>
      <c r="E172">
        <v>195</v>
      </c>
      <c r="F172">
        <v>4400</v>
      </c>
      <c r="G172" t="s">
        <v>2</v>
      </c>
    </row>
    <row r="173" spans="1:7" x14ac:dyDescent="0.45">
      <c r="A173" t="s">
        <v>6</v>
      </c>
      <c r="B173" t="s">
        <v>5</v>
      </c>
      <c r="C173" s="1">
        <v>424</v>
      </c>
      <c r="D173" s="1">
        <v>173</v>
      </c>
      <c r="E173">
        <v>181</v>
      </c>
      <c r="F173">
        <v>3600</v>
      </c>
      <c r="G173" t="s">
        <v>3</v>
      </c>
    </row>
    <row r="174" spans="1:7" x14ac:dyDescent="0.45">
      <c r="A174" t="s">
        <v>6</v>
      </c>
      <c r="B174" t="s">
        <v>5</v>
      </c>
      <c r="C174" s="1">
        <v>485</v>
      </c>
      <c r="D174" s="1">
        <v>175</v>
      </c>
      <c r="E174">
        <v>191</v>
      </c>
      <c r="F174">
        <v>3400</v>
      </c>
      <c r="G174" t="s">
        <v>2</v>
      </c>
    </row>
    <row r="175" spans="1:7" x14ac:dyDescent="0.45">
      <c r="A175" t="s">
        <v>6</v>
      </c>
      <c r="B175" t="s">
        <v>5</v>
      </c>
      <c r="C175" s="1">
        <v>432</v>
      </c>
      <c r="D175" s="1">
        <v>166</v>
      </c>
      <c r="E175">
        <v>187</v>
      </c>
      <c r="F175">
        <v>2900</v>
      </c>
      <c r="G175" t="s">
        <v>3</v>
      </c>
    </row>
    <row r="176" spans="1:7" x14ac:dyDescent="0.45">
      <c r="A176" t="s">
        <v>6</v>
      </c>
      <c r="B176" t="s">
        <v>5</v>
      </c>
      <c r="C176" s="1">
        <v>506</v>
      </c>
      <c r="D176" s="1">
        <v>194</v>
      </c>
      <c r="E176">
        <v>193</v>
      </c>
      <c r="F176">
        <v>3800</v>
      </c>
      <c r="G176" t="s">
        <v>2</v>
      </c>
    </row>
    <row r="177" spans="1:7" x14ac:dyDescent="0.45">
      <c r="A177" t="s">
        <v>6</v>
      </c>
      <c r="B177" t="s">
        <v>5</v>
      </c>
      <c r="C177" s="1">
        <v>467</v>
      </c>
      <c r="D177" s="1">
        <v>179</v>
      </c>
      <c r="E177">
        <v>195</v>
      </c>
      <c r="F177">
        <v>3300</v>
      </c>
      <c r="G177" t="s">
        <v>3</v>
      </c>
    </row>
    <row r="178" spans="1:7" x14ac:dyDescent="0.45">
      <c r="A178" t="s">
        <v>6</v>
      </c>
      <c r="B178" t="s">
        <v>5</v>
      </c>
      <c r="C178" s="1">
        <v>520</v>
      </c>
      <c r="D178" s="1">
        <v>190</v>
      </c>
      <c r="E178">
        <v>197</v>
      </c>
      <c r="F178">
        <v>4150</v>
      </c>
      <c r="G178" t="s">
        <v>2</v>
      </c>
    </row>
    <row r="179" spans="1:7" x14ac:dyDescent="0.45">
      <c r="A179" t="s">
        <v>6</v>
      </c>
      <c r="B179" t="s">
        <v>5</v>
      </c>
      <c r="C179" s="1">
        <v>505</v>
      </c>
      <c r="D179" s="1">
        <v>184</v>
      </c>
      <c r="E179">
        <v>200</v>
      </c>
      <c r="F179">
        <v>3400</v>
      </c>
      <c r="G179" t="s">
        <v>3</v>
      </c>
    </row>
    <row r="180" spans="1:7" x14ac:dyDescent="0.45">
      <c r="A180" t="s">
        <v>6</v>
      </c>
      <c r="B180" t="s">
        <v>5</v>
      </c>
      <c r="C180" s="1">
        <v>495</v>
      </c>
      <c r="D180" s="1">
        <v>190</v>
      </c>
      <c r="E180">
        <v>200</v>
      </c>
      <c r="F180">
        <v>3800</v>
      </c>
      <c r="G180" t="s">
        <v>2</v>
      </c>
    </row>
    <row r="181" spans="1:7" x14ac:dyDescent="0.45">
      <c r="A181" t="s">
        <v>6</v>
      </c>
      <c r="B181" t="s">
        <v>5</v>
      </c>
      <c r="C181" s="1">
        <v>464</v>
      </c>
      <c r="D181" s="1">
        <v>178</v>
      </c>
      <c r="E181">
        <v>191</v>
      </c>
      <c r="F181">
        <v>3700</v>
      </c>
      <c r="G181" t="s">
        <v>3</v>
      </c>
    </row>
    <row r="182" spans="1:7" x14ac:dyDescent="0.45">
      <c r="A182" t="s">
        <v>6</v>
      </c>
      <c r="B182" t="s">
        <v>5</v>
      </c>
      <c r="C182" s="1">
        <v>528</v>
      </c>
      <c r="D182" s="1">
        <v>200</v>
      </c>
      <c r="E182">
        <v>205</v>
      </c>
      <c r="F182">
        <v>4550</v>
      </c>
      <c r="G182" t="s">
        <v>2</v>
      </c>
    </row>
    <row r="183" spans="1:7" x14ac:dyDescent="0.45">
      <c r="A183" t="s">
        <v>6</v>
      </c>
      <c r="B183" t="s">
        <v>5</v>
      </c>
      <c r="C183" s="1">
        <v>409</v>
      </c>
      <c r="D183" s="1">
        <v>166</v>
      </c>
      <c r="E183">
        <v>187</v>
      </c>
      <c r="F183">
        <v>3200</v>
      </c>
      <c r="G183" t="s">
        <v>3</v>
      </c>
    </row>
    <row r="184" spans="1:7" x14ac:dyDescent="0.45">
      <c r="A184" t="s">
        <v>6</v>
      </c>
      <c r="B184" t="s">
        <v>5</v>
      </c>
      <c r="C184" s="1">
        <v>542</v>
      </c>
      <c r="D184" s="1">
        <v>208</v>
      </c>
      <c r="E184">
        <v>201</v>
      </c>
      <c r="F184">
        <v>4300</v>
      </c>
      <c r="G184" t="s">
        <v>2</v>
      </c>
    </row>
    <row r="185" spans="1:7" x14ac:dyDescent="0.45">
      <c r="A185" t="s">
        <v>6</v>
      </c>
      <c r="B185" t="s">
        <v>5</v>
      </c>
      <c r="C185" s="1">
        <v>425</v>
      </c>
      <c r="D185" s="1">
        <v>167</v>
      </c>
      <c r="E185">
        <v>187</v>
      </c>
      <c r="F185">
        <v>3350</v>
      </c>
      <c r="G185" t="s">
        <v>3</v>
      </c>
    </row>
    <row r="186" spans="1:7" x14ac:dyDescent="0.45">
      <c r="A186" t="s">
        <v>6</v>
      </c>
      <c r="B186" t="s">
        <v>5</v>
      </c>
      <c r="C186" s="1">
        <v>510</v>
      </c>
      <c r="D186" s="1">
        <v>188</v>
      </c>
      <c r="E186">
        <v>203</v>
      </c>
      <c r="F186">
        <v>4100</v>
      </c>
      <c r="G186" t="s">
        <v>2</v>
      </c>
    </row>
    <row r="187" spans="1:7" x14ac:dyDescent="0.45">
      <c r="A187" t="s">
        <v>6</v>
      </c>
      <c r="B187" t="s">
        <v>5</v>
      </c>
      <c r="C187" s="1">
        <v>497</v>
      </c>
      <c r="D187" s="1">
        <v>186</v>
      </c>
      <c r="E187">
        <v>195</v>
      </c>
      <c r="F187">
        <v>3600</v>
      </c>
      <c r="G187" t="s">
        <v>2</v>
      </c>
    </row>
    <row r="188" spans="1:7" x14ac:dyDescent="0.45">
      <c r="A188" t="s">
        <v>6</v>
      </c>
      <c r="B188" t="s">
        <v>5</v>
      </c>
      <c r="C188" s="1">
        <v>475</v>
      </c>
      <c r="D188" s="1">
        <v>168</v>
      </c>
      <c r="E188">
        <v>199</v>
      </c>
      <c r="F188">
        <v>3900</v>
      </c>
      <c r="G188" t="s">
        <v>3</v>
      </c>
    </row>
    <row r="189" spans="1:7" x14ac:dyDescent="0.45">
      <c r="A189" t="s">
        <v>6</v>
      </c>
      <c r="B189" t="s">
        <v>5</v>
      </c>
      <c r="C189" s="1">
        <v>476</v>
      </c>
      <c r="D189" s="1">
        <v>183</v>
      </c>
      <c r="E189">
        <v>195</v>
      </c>
      <c r="F189">
        <v>3850</v>
      </c>
      <c r="G189" t="s">
        <v>3</v>
      </c>
    </row>
    <row r="190" spans="1:7" x14ac:dyDescent="0.45">
      <c r="A190" t="s">
        <v>6</v>
      </c>
      <c r="B190" t="s">
        <v>5</v>
      </c>
      <c r="C190" s="1">
        <v>520</v>
      </c>
      <c r="D190" s="1">
        <v>207</v>
      </c>
      <c r="E190">
        <v>210</v>
      </c>
      <c r="F190">
        <v>4800</v>
      </c>
      <c r="G190" t="s">
        <v>2</v>
      </c>
    </row>
    <row r="191" spans="1:7" x14ac:dyDescent="0.45">
      <c r="A191" t="s">
        <v>6</v>
      </c>
      <c r="B191" t="s">
        <v>5</v>
      </c>
      <c r="C191" s="1">
        <v>469</v>
      </c>
      <c r="D191" s="1">
        <v>166</v>
      </c>
      <c r="E191">
        <v>192</v>
      </c>
      <c r="F191">
        <v>2700</v>
      </c>
      <c r="G191" t="s">
        <v>3</v>
      </c>
    </row>
    <row r="192" spans="1:7" x14ac:dyDescent="0.45">
      <c r="A192" t="s">
        <v>6</v>
      </c>
      <c r="B192" t="s">
        <v>5</v>
      </c>
      <c r="C192" s="1">
        <v>535</v>
      </c>
      <c r="D192" s="1">
        <v>199</v>
      </c>
      <c r="E192">
        <v>205</v>
      </c>
      <c r="F192">
        <v>4500</v>
      </c>
      <c r="G192" t="s">
        <v>2</v>
      </c>
    </row>
    <row r="193" spans="1:7" x14ac:dyDescent="0.45">
      <c r="A193" t="s">
        <v>6</v>
      </c>
      <c r="B193" t="s">
        <v>5</v>
      </c>
      <c r="C193" s="1">
        <v>490</v>
      </c>
      <c r="D193" s="1">
        <v>195</v>
      </c>
      <c r="E193">
        <v>210</v>
      </c>
      <c r="F193">
        <v>3950</v>
      </c>
      <c r="G193" t="s">
        <v>2</v>
      </c>
    </row>
    <row r="194" spans="1:7" x14ac:dyDescent="0.45">
      <c r="A194" t="s">
        <v>6</v>
      </c>
      <c r="B194" t="s">
        <v>5</v>
      </c>
      <c r="C194" s="1">
        <v>462</v>
      </c>
      <c r="D194" s="1">
        <v>175</v>
      </c>
      <c r="E194">
        <v>187</v>
      </c>
      <c r="F194">
        <v>3650</v>
      </c>
      <c r="G194" t="s">
        <v>3</v>
      </c>
    </row>
    <row r="195" spans="1:7" x14ac:dyDescent="0.45">
      <c r="A195" t="s">
        <v>6</v>
      </c>
      <c r="B195" t="s">
        <v>5</v>
      </c>
      <c r="C195" s="1">
        <v>509</v>
      </c>
      <c r="D195" s="1">
        <v>191</v>
      </c>
      <c r="E195">
        <v>196</v>
      </c>
      <c r="F195">
        <v>3550</v>
      </c>
      <c r="G195" t="s">
        <v>2</v>
      </c>
    </row>
    <row r="196" spans="1:7" x14ac:dyDescent="0.45">
      <c r="A196" t="s">
        <v>6</v>
      </c>
      <c r="B196" t="s">
        <v>5</v>
      </c>
      <c r="C196" s="1">
        <v>455</v>
      </c>
      <c r="D196" s="1">
        <v>170</v>
      </c>
      <c r="E196">
        <v>196</v>
      </c>
      <c r="F196">
        <v>3500</v>
      </c>
      <c r="G196" t="s">
        <v>3</v>
      </c>
    </row>
    <row r="197" spans="1:7" x14ac:dyDescent="0.45">
      <c r="A197" t="s">
        <v>6</v>
      </c>
      <c r="B197" t="s">
        <v>5</v>
      </c>
      <c r="C197" s="1">
        <v>509</v>
      </c>
      <c r="D197" s="1">
        <v>179</v>
      </c>
      <c r="E197">
        <v>196</v>
      </c>
      <c r="F197">
        <v>3675</v>
      </c>
      <c r="G197" t="s">
        <v>3</v>
      </c>
    </row>
    <row r="198" spans="1:7" x14ac:dyDescent="0.45">
      <c r="A198" t="s">
        <v>6</v>
      </c>
      <c r="B198" t="s">
        <v>5</v>
      </c>
      <c r="C198" s="1">
        <v>508</v>
      </c>
      <c r="D198" s="1">
        <v>185</v>
      </c>
      <c r="E198">
        <v>201</v>
      </c>
      <c r="F198">
        <v>4450</v>
      </c>
      <c r="G198" t="s">
        <v>2</v>
      </c>
    </row>
    <row r="199" spans="1:7" x14ac:dyDescent="0.45">
      <c r="A199" t="s">
        <v>6</v>
      </c>
      <c r="B199" t="s">
        <v>5</v>
      </c>
      <c r="C199" s="1">
        <v>501</v>
      </c>
      <c r="D199" s="1">
        <v>179</v>
      </c>
      <c r="E199">
        <v>190</v>
      </c>
      <c r="F199">
        <v>3400</v>
      </c>
      <c r="G199" t="s">
        <v>3</v>
      </c>
    </row>
    <row r="200" spans="1:7" x14ac:dyDescent="0.45">
      <c r="A200" t="s">
        <v>6</v>
      </c>
      <c r="B200" t="s">
        <v>5</v>
      </c>
      <c r="C200" s="1">
        <v>490</v>
      </c>
      <c r="D200" s="1">
        <v>196</v>
      </c>
      <c r="E200">
        <v>212</v>
      </c>
      <c r="F200">
        <v>4300</v>
      </c>
      <c r="G200" t="s">
        <v>2</v>
      </c>
    </row>
    <row r="201" spans="1:7" x14ac:dyDescent="0.45">
      <c r="A201" t="s">
        <v>6</v>
      </c>
      <c r="B201" t="s">
        <v>5</v>
      </c>
      <c r="C201" s="1">
        <v>515</v>
      </c>
      <c r="D201" s="1">
        <v>187</v>
      </c>
      <c r="E201">
        <v>187</v>
      </c>
      <c r="F201">
        <v>3250</v>
      </c>
      <c r="G201" t="s">
        <v>2</v>
      </c>
    </row>
    <row r="202" spans="1:7" x14ac:dyDescent="0.45">
      <c r="A202" t="s">
        <v>6</v>
      </c>
      <c r="B202" t="s">
        <v>5</v>
      </c>
      <c r="C202" s="1">
        <v>498</v>
      </c>
      <c r="D202" s="1">
        <v>173</v>
      </c>
      <c r="E202">
        <v>198</v>
      </c>
      <c r="F202">
        <v>3675</v>
      </c>
      <c r="G202" t="s">
        <v>3</v>
      </c>
    </row>
    <row r="203" spans="1:7" x14ac:dyDescent="0.45">
      <c r="A203" t="s">
        <v>6</v>
      </c>
      <c r="B203" t="s">
        <v>5</v>
      </c>
      <c r="C203" s="1">
        <v>481</v>
      </c>
      <c r="D203" s="1">
        <v>164</v>
      </c>
      <c r="E203">
        <v>199</v>
      </c>
      <c r="F203">
        <v>3325</v>
      </c>
      <c r="G203" t="s">
        <v>3</v>
      </c>
    </row>
    <row r="204" spans="1:7" x14ac:dyDescent="0.45">
      <c r="A204" t="s">
        <v>6</v>
      </c>
      <c r="B204" t="s">
        <v>5</v>
      </c>
      <c r="C204" s="1">
        <v>514</v>
      </c>
      <c r="D204" s="1">
        <v>190</v>
      </c>
      <c r="E204">
        <v>201</v>
      </c>
      <c r="F204">
        <v>3950</v>
      </c>
      <c r="G204" t="s">
        <v>2</v>
      </c>
    </row>
    <row r="205" spans="1:7" x14ac:dyDescent="0.45">
      <c r="A205" t="s">
        <v>6</v>
      </c>
      <c r="B205" t="s">
        <v>5</v>
      </c>
      <c r="C205" s="1">
        <v>457</v>
      </c>
      <c r="D205" s="1">
        <v>173</v>
      </c>
      <c r="E205">
        <v>193</v>
      </c>
      <c r="F205">
        <v>3600</v>
      </c>
      <c r="G205" t="s">
        <v>3</v>
      </c>
    </row>
    <row r="206" spans="1:7" x14ac:dyDescent="0.45">
      <c r="A206" t="s">
        <v>6</v>
      </c>
      <c r="B206" t="s">
        <v>5</v>
      </c>
      <c r="C206" s="1">
        <v>507</v>
      </c>
      <c r="D206" s="1">
        <v>197</v>
      </c>
      <c r="E206">
        <v>203</v>
      </c>
      <c r="F206">
        <v>4050</v>
      </c>
      <c r="G206" t="s">
        <v>2</v>
      </c>
    </row>
    <row r="207" spans="1:7" x14ac:dyDescent="0.45">
      <c r="A207" t="s">
        <v>6</v>
      </c>
      <c r="B207" t="s">
        <v>5</v>
      </c>
      <c r="C207" s="1">
        <v>425</v>
      </c>
      <c r="D207" s="1">
        <v>173</v>
      </c>
      <c r="E207">
        <v>187</v>
      </c>
      <c r="F207">
        <v>3350</v>
      </c>
      <c r="G207" t="s">
        <v>3</v>
      </c>
    </row>
    <row r="208" spans="1:7" x14ac:dyDescent="0.45">
      <c r="A208" t="s">
        <v>6</v>
      </c>
      <c r="B208" t="s">
        <v>5</v>
      </c>
      <c r="C208" s="1">
        <v>522</v>
      </c>
      <c r="D208" s="1">
        <v>188</v>
      </c>
      <c r="E208">
        <v>197</v>
      </c>
      <c r="F208">
        <v>3450</v>
      </c>
      <c r="G208" t="s">
        <v>2</v>
      </c>
    </row>
    <row r="209" spans="1:7" x14ac:dyDescent="0.45">
      <c r="A209" t="s">
        <v>6</v>
      </c>
      <c r="B209" t="s">
        <v>5</v>
      </c>
      <c r="C209" s="1">
        <v>452</v>
      </c>
      <c r="D209" s="1">
        <v>166</v>
      </c>
      <c r="E209">
        <v>191</v>
      </c>
      <c r="F209">
        <v>3250</v>
      </c>
      <c r="G209" t="s">
        <v>3</v>
      </c>
    </row>
    <row r="210" spans="1:7" x14ac:dyDescent="0.45">
      <c r="A210" t="s">
        <v>6</v>
      </c>
      <c r="B210" t="s">
        <v>5</v>
      </c>
      <c r="C210" s="1">
        <v>493</v>
      </c>
      <c r="D210" s="1">
        <v>199</v>
      </c>
      <c r="E210">
        <v>203</v>
      </c>
      <c r="F210">
        <v>4050</v>
      </c>
      <c r="G210" t="s">
        <v>2</v>
      </c>
    </row>
    <row r="211" spans="1:7" x14ac:dyDescent="0.45">
      <c r="A211" t="s">
        <v>6</v>
      </c>
      <c r="B211" t="s">
        <v>5</v>
      </c>
      <c r="C211" s="1">
        <v>502</v>
      </c>
      <c r="D211" s="1">
        <v>188</v>
      </c>
      <c r="E211">
        <v>202</v>
      </c>
      <c r="F211">
        <v>3800</v>
      </c>
      <c r="G211" t="s">
        <v>2</v>
      </c>
    </row>
    <row r="212" spans="1:7" x14ac:dyDescent="0.45">
      <c r="A212" t="s">
        <v>6</v>
      </c>
      <c r="B212" t="s">
        <v>5</v>
      </c>
      <c r="C212" s="1">
        <v>456</v>
      </c>
      <c r="D212" s="1">
        <v>194</v>
      </c>
      <c r="E212">
        <v>194</v>
      </c>
      <c r="F212">
        <v>3525</v>
      </c>
      <c r="G212" t="s">
        <v>3</v>
      </c>
    </row>
    <row r="213" spans="1:7" x14ac:dyDescent="0.45">
      <c r="A213" t="s">
        <v>6</v>
      </c>
      <c r="B213" t="s">
        <v>5</v>
      </c>
      <c r="C213" s="1">
        <v>519</v>
      </c>
      <c r="D213" s="1">
        <v>195</v>
      </c>
      <c r="E213">
        <v>206</v>
      </c>
      <c r="F213">
        <v>3950</v>
      </c>
      <c r="G213" t="s">
        <v>2</v>
      </c>
    </row>
    <row r="214" spans="1:7" x14ac:dyDescent="0.45">
      <c r="A214" t="s">
        <v>6</v>
      </c>
      <c r="B214" t="s">
        <v>5</v>
      </c>
      <c r="C214" s="1">
        <v>468</v>
      </c>
      <c r="D214" s="1">
        <v>165</v>
      </c>
      <c r="E214">
        <v>189</v>
      </c>
      <c r="F214">
        <v>3650</v>
      </c>
      <c r="G214" t="s">
        <v>3</v>
      </c>
    </row>
    <row r="215" spans="1:7" x14ac:dyDescent="0.45">
      <c r="A215" t="s">
        <v>6</v>
      </c>
      <c r="B215" t="s">
        <v>5</v>
      </c>
      <c r="C215" s="1">
        <v>457</v>
      </c>
      <c r="D215" s="1">
        <v>170</v>
      </c>
      <c r="E215">
        <v>195</v>
      </c>
      <c r="F215">
        <v>3650</v>
      </c>
      <c r="G215" t="s">
        <v>3</v>
      </c>
    </row>
    <row r="216" spans="1:7" x14ac:dyDescent="0.45">
      <c r="A216" t="s">
        <v>6</v>
      </c>
      <c r="B216" t="s">
        <v>5</v>
      </c>
      <c r="C216" s="1">
        <v>558</v>
      </c>
      <c r="D216" s="1">
        <v>198</v>
      </c>
      <c r="E216">
        <v>207</v>
      </c>
      <c r="F216">
        <v>4000</v>
      </c>
      <c r="G216" t="s">
        <v>2</v>
      </c>
    </row>
    <row r="217" spans="1:7" x14ac:dyDescent="0.45">
      <c r="A217" t="s">
        <v>6</v>
      </c>
      <c r="B217" t="s">
        <v>5</v>
      </c>
      <c r="C217" s="1">
        <v>435</v>
      </c>
      <c r="D217" s="1">
        <v>181</v>
      </c>
      <c r="E217">
        <v>202</v>
      </c>
      <c r="F217">
        <v>3400</v>
      </c>
      <c r="G217" t="s">
        <v>3</v>
      </c>
    </row>
    <row r="218" spans="1:7" x14ac:dyDescent="0.45">
      <c r="A218" t="s">
        <v>6</v>
      </c>
      <c r="B218" t="s">
        <v>5</v>
      </c>
      <c r="C218" s="1">
        <v>496</v>
      </c>
      <c r="D218" s="1">
        <v>182</v>
      </c>
      <c r="E218">
        <v>193</v>
      </c>
      <c r="F218">
        <v>3775</v>
      </c>
      <c r="G218" t="s">
        <v>2</v>
      </c>
    </row>
    <row r="219" spans="1:7" x14ac:dyDescent="0.45">
      <c r="A219" t="s">
        <v>6</v>
      </c>
      <c r="B219" t="s">
        <v>5</v>
      </c>
      <c r="C219" s="1">
        <v>508</v>
      </c>
      <c r="D219" s="1">
        <v>190</v>
      </c>
      <c r="E219">
        <v>210</v>
      </c>
      <c r="F219">
        <v>4100</v>
      </c>
      <c r="G219" t="s">
        <v>2</v>
      </c>
    </row>
    <row r="220" spans="1:7" x14ac:dyDescent="0.45">
      <c r="A220" t="s">
        <v>6</v>
      </c>
      <c r="B220" t="s">
        <v>5</v>
      </c>
      <c r="C220" s="1">
        <v>502</v>
      </c>
      <c r="D220" s="1">
        <v>187</v>
      </c>
      <c r="E220">
        <v>198</v>
      </c>
      <c r="F220">
        <v>3775</v>
      </c>
      <c r="G220" t="s">
        <v>3</v>
      </c>
    </row>
    <row r="221" spans="1:7" x14ac:dyDescent="0.45">
      <c r="A221" t="s">
        <v>7</v>
      </c>
      <c r="B221" t="s">
        <v>4</v>
      </c>
      <c r="C221" s="1">
        <v>461</v>
      </c>
      <c r="D221" s="1">
        <v>132</v>
      </c>
      <c r="E221">
        <v>211</v>
      </c>
      <c r="F221">
        <v>4500</v>
      </c>
      <c r="G221" t="s">
        <v>3</v>
      </c>
    </row>
    <row r="222" spans="1:7" x14ac:dyDescent="0.45">
      <c r="A222" t="s">
        <v>7</v>
      </c>
      <c r="B222" t="s">
        <v>4</v>
      </c>
      <c r="C222" s="1">
        <v>500</v>
      </c>
      <c r="D222" s="1">
        <v>163</v>
      </c>
      <c r="E222">
        <v>230</v>
      </c>
      <c r="F222">
        <v>5700</v>
      </c>
      <c r="G222" t="s">
        <v>2</v>
      </c>
    </row>
    <row r="223" spans="1:7" x14ac:dyDescent="0.45">
      <c r="A223" t="s">
        <v>7</v>
      </c>
      <c r="B223" t="s">
        <v>4</v>
      </c>
      <c r="C223" s="1">
        <v>487</v>
      </c>
      <c r="D223" s="1">
        <v>141</v>
      </c>
      <c r="E223">
        <v>210</v>
      </c>
      <c r="F223">
        <v>4450</v>
      </c>
      <c r="G223" t="s">
        <v>3</v>
      </c>
    </row>
    <row r="224" spans="1:7" x14ac:dyDescent="0.45">
      <c r="A224" t="s">
        <v>7</v>
      </c>
      <c r="B224" t="s">
        <v>4</v>
      </c>
      <c r="C224" s="1">
        <v>500</v>
      </c>
      <c r="D224" s="1">
        <v>152</v>
      </c>
      <c r="E224">
        <v>218</v>
      </c>
      <c r="F224">
        <v>5700</v>
      </c>
      <c r="G224" t="s">
        <v>2</v>
      </c>
    </row>
    <row r="225" spans="1:7" x14ac:dyDescent="0.45">
      <c r="A225" t="s">
        <v>7</v>
      </c>
      <c r="B225" t="s">
        <v>4</v>
      </c>
      <c r="C225" s="1">
        <v>476</v>
      </c>
      <c r="D225" s="1">
        <v>145</v>
      </c>
      <c r="E225">
        <v>215</v>
      </c>
      <c r="F225">
        <v>5400</v>
      </c>
      <c r="G225" t="s">
        <v>2</v>
      </c>
    </row>
    <row r="226" spans="1:7" x14ac:dyDescent="0.45">
      <c r="A226" t="s">
        <v>7</v>
      </c>
      <c r="B226" t="s">
        <v>4</v>
      </c>
      <c r="C226" s="1">
        <v>465</v>
      </c>
      <c r="D226" s="1">
        <v>135</v>
      </c>
      <c r="E226">
        <v>210</v>
      </c>
      <c r="F226">
        <v>4550</v>
      </c>
      <c r="G226" t="s">
        <v>3</v>
      </c>
    </row>
    <row r="227" spans="1:7" x14ac:dyDescent="0.45">
      <c r="A227" t="s">
        <v>7</v>
      </c>
      <c r="B227" t="s">
        <v>4</v>
      </c>
      <c r="C227" s="1">
        <v>454</v>
      </c>
      <c r="D227" s="1">
        <v>146</v>
      </c>
      <c r="E227">
        <v>211</v>
      </c>
      <c r="F227">
        <v>4800</v>
      </c>
      <c r="G227" t="s">
        <v>3</v>
      </c>
    </row>
    <row r="228" spans="1:7" x14ac:dyDescent="0.45">
      <c r="A228" t="s">
        <v>7</v>
      </c>
      <c r="B228" t="s">
        <v>4</v>
      </c>
      <c r="C228" s="1">
        <v>467</v>
      </c>
      <c r="D228" s="1">
        <v>153</v>
      </c>
      <c r="E228">
        <v>219</v>
      </c>
      <c r="F228">
        <v>5200</v>
      </c>
      <c r="G228" t="s">
        <v>2</v>
      </c>
    </row>
    <row r="229" spans="1:7" x14ac:dyDescent="0.45">
      <c r="A229" t="s">
        <v>7</v>
      </c>
      <c r="B229" t="s">
        <v>4</v>
      </c>
      <c r="C229" s="1">
        <v>433</v>
      </c>
      <c r="D229" s="1">
        <v>134</v>
      </c>
      <c r="E229">
        <v>209</v>
      </c>
      <c r="F229">
        <v>4400</v>
      </c>
      <c r="G229" t="s">
        <v>3</v>
      </c>
    </row>
    <row r="230" spans="1:7" x14ac:dyDescent="0.45">
      <c r="A230" t="s">
        <v>7</v>
      </c>
      <c r="B230" t="s">
        <v>4</v>
      </c>
      <c r="C230" s="1">
        <v>468</v>
      </c>
      <c r="D230" s="1">
        <v>154</v>
      </c>
      <c r="E230">
        <v>215</v>
      </c>
      <c r="F230">
        <v>5150</v>
      </c>
      <c r="G230" t="s">
        <v>2</v>
      </c>
    </row>
    <row r="231" spans="1:7" x14ac:dyDescent="0.45">
      <c r="A231" t="s">
        <v>7</v>
      </c>
      <c r="B231" t="s">
        <v>4</v>
      </c>
      <c r="C231" s="1">
        <v>409</v>
      </c>
      <c r="D231" s="1">
        <v>137</v>
      </c>
      <c r="E231">
        <v>214</v>
      </c>
      <c r="F231">
        <v>4650</v>
      </c>
      <c r="G231" t="s">
        <v>3</v>
      </c>
    </row>
    <row r="232" spans="1:7" x14ac:dyDescent="0.45">
      <c r="A232" t="s">
        <v>7</v>
      </c>
      <c r="B232" t="s">
        <v>4</v>
      </c>
      <c r="C232" s="1">
        <v>490</v>
      </c>
      <c r="D232" s="1">
        <v>161</v>
      </c>
      <c r="E232">
        <v>216</v>
      </c>
      <c r="F232">
        <v>5550</v>
      </c>
      <c r="G232" t="s">
        <v>2</v>
      </c>
    </row>
    <row r="233" spans="1:7" x14ac:dyDescent="0.45">
      <c r="A233" t="s">
        <v>7</v>
      </c>
      <c r="B233" t="s">
        <v>4</v>
      </c>
      <c r="C233" s="1">
        <v>455</v>
      </c>
      <c r="D233" s="1">
        <v>137</v>
      </c>
      <c r="E233">
        <v>214</v>
      </c>
      <c r="F233">
        <v>4650</v>
      </c>
      <c r="G233" t="s">
        <v>3</v>
      </c>
    </row>
    <row r="234" spans="1:7" x14ac:dyDescent="0.45">
      <c r="A234" t="s">
        <v>7</v>
      </c>
      <c r="B234" t="s">
        <v>4</v>
      </c>
      <c r="C234" s="1">
        <v>484</v>
      </c>
      <c r="D234" s="1">
        <v>146</v>
      </c>
      <c r="E234">
        <v>213</v>
      </c>
      <c r="F234">
        <v>5850</v>
      </c>
      <c r="G234" t="s">
        <v>2</v>
      </c>
    </row>
    <row r="235" spans="1:7" x14ac:dyDescent="0.45">
      <c r="A235" t="s">
        <v>7</v>
      </c>
      <c r="B235" t="s">
        <v>4</v>
      </c>
      <c r="C235" s="1">
        <v>458</v>
      </c>
      <c r="D235" s="1">
        <v>146</v>
      </c>
      <c r="E235">
        <v>210</v>
      </c>
      <c r="F235">
        <v>4200</v>
      </c>
      <c r="G235" t="s">
        <v>3</v>
      </c>
    </row>
    <row r="236" spans="1:7" x14ac:dyDescent="0.45">
      <c r="A236" t="s">
        <v>7</v>
      </c>
      <c r="B236" t="s">
        <v>4</v>
      </c>
      <c r="C236" s="1">
        <v>493</v>
      </c>
      <c r="D236" s="1">
        <v>157</v>
      </c>
      <c r="E236">
        <v>217</v>
      </c>
      <c r="F236">
        <v>5850</v>
      </c>
      <c r="G236" t="s">
        <v>2</v>
      </c>
    </row>
    <row r="237" spans="1:7" x14ac:dyDescent="0.45">
      <c r="A237" t="s">
        <v>7</v>
      </c>
      <c r="B237" t="s">
        <v>4</v>
      </c>
      <c r="C237" s="1">
        <v>420</v>
      </c>
      <c r="D237" s="1">
        <v>135</v>
      </c>
      <c r="E237">
        <v>210</v>
      </c>
      <c r="F237">
        <v>4150</v>
      </c>
      <c r="G237" t="s">
        <v>3</v>
      </c>
    </row>
    <row r="238" spans="1:7" x14ac:dyDescent="0.45">
      <c r="A238" t="s">
        <v>7</v>
      </c>
      <c r="B238" t="s">
        <v>4</v>
      </c>
      <c r="C238" s="1">
        <v>492</v>
      </c>
      <c r="D238" s="1">
        <v>152</v>
      </c>
      <c r="E238">
        <v>221</v>
      </c>
      <c r="F238">
        <v>6300</v>
      </c>
      <c r="G238" t="s">
        <v>2</v>
      </c>
    </row>
    <row r="239" spans="1:7" x14ac:dyDescent="0.45">
      <c r="A239" t="s">
        <v>7</v>
      </c>
      <c r="B239" t="s">
        <v>4</v>
      </c>
      <c r="C239" s="1">
        <v>462</v>
      </c>
      <c r="D239" s="1">
        <v>145</v>
      </c>
      <c r="E239">
        <v>209</v>
      </c>
      <c r="F239">
        <v>4800</v>
      </c>
      <c r="G239" t="s">
        <v>3</v>
      </c>
    </row>
    <row r="240" spans="1:7" x14ac:dyDescent="0.45">
      <c r="A240" t="s">
        <v>7</v>
      </c>
      <c r="B240" t="s">
        <v>4</v>
      </c>
      <c r="C240" s="1">
        <v>487</v>
      </c>
      <c r="D240" s="1">
        <v>151</v>
      </c>
      <c r="E240">
        <v>222</v>
      </c>
      <c r="F240">
        <v>5350</v>
      </c>
      <c r="G240" t="s">
        <v>2</v>
      </c>
    </row>
    <row r="241" spans="1:7" x14ac:dyDescent="0.45">
      <c r="A241" t="s">
        <v>7</v>
      </c>
      <c r="B241" t="s">
        <v>4</v>
      </c>
      <c r="C241" s="1">
        <v>502</v>
      </c>
      <c r="D241" s="1">
        <v>143</v>
      </c>
      <c r="E241">
        <v>218</v>
      </c>
      <c r="F241">
        <v>5700</v>
      </c>
      <c r="G241" t="s">
        <v>2</v>
      </c>
    </row>
    <row r="242" spans="1:7" x14ac:dyDescent="0.45">
      <c r="A242" t="s">
        <v>7</v>
      </c>
      <c r="B242" t="s">
        <v>4</v>
      </c>
      <c r="C242" s="1">
        <v>451</v>
      </c>
      <c r="D242" s="1">
        <v>145</v>
      </c>
      <c r="E242">
        <v>215</v>
      </c>
      <c r="F242">
        <v>5000</v>
      </c>
      <c r="G242" t="s">
        <v>3</v>
      </c>
    </row>
    <row r="243" spans="1:7" x14ac:dyDescent="0.45">
      <c r="A243" t="s">
        <v>7</v>
      </c>
      <c r="B243" t="s">
        <v>4</v>
      </c>
      <c r="C243" s="1">
        <v>465</v>
      </c>
      <c r="D243" s="1">
        <v>145</v>
      </c>
      <c r="E243">
        <v>213</v>
      </c>
      <c r="F243">
        <v>4400</v>
      </c>
      <c r="G243" t="s">
        <v>3</v>
      </c>
    </row>
    <row r="244" spans="1:7" x14ac:dyDescent="0.45">
      <c r="A244" t="s">
        <v>7</v>
      </c>
      <c r="B244" t="s">
        <v>4</v>
      </c>
      <c r="C244" s="1">
        <v>463</v>
      </c>
      <c r="D244" s="1">
        <v>158</v>
      </c>
      <c r="E244">
        <v>215</v>
      </c>
      <c r="F244">
        <v>5050</v>
      </c>
      <c r="G244" t="s">
        <v>2</v>
      </c>
    </row>
    <row r="245" spans="1:7" x14ac:dyDescent="0.45">
      <c r="A245" t="s">
        <v>7</v>
      </c>
      <c r="B245" t="s">
        <v>4</v>
      </c>
      <c r="C245" s="1">
        <v>429</v>
      </c>
      <c r="D245" s="1">
        <v>131</v>
      </c>
      <c r="E245">
        <v>215</v>
      </c>
      <c r="F245">
        <v>5000</v>
      </c>
      <c r="G245" t="s">
        <v>3</v>
      </c>
    </row>
    <row r="246" spans="1:7" x14ac:dyDescent="0.45">
      <c r="A246" t="s">
        <v>7</v>
      </c>
      <c r="B246" t="s">
        <v>4</v>
      </c>
      <c r="C246" s="1">
        <v>461</v>
      </c>
      <c r="D246" s="1">
        <v>151</v>
      </c>
      <c r="E246">
        <v>215</v>
      </c>
      <c r="F246">
        <v>5100</v>
      </c>
      <c r="G246" t="s">
        <v>2</v>
      </c>
    </row>
    <row r="247" spans="1:7" x14ac:dyDescent="0.45">
      <c r="A247" t="s">
        <v>7</v>
      </c>
      <c r="B247" t="s">
        <v>4</v>
      </c>
      <c r="C247" s="1">
        <v>445</v>
      </c>
      <c r="D247" s="1">
        <v>143</v>
      </c>
      <c r="E247">
        <v>216</v>
      </c>
      <c r="F247">
        <v>4100</v>
      </c>
      <c r="G247" t="s">
        <v>3</v>
      </c>
    </row>
    <row r="248" spans="1:7" x14ac:dyDescent="0.45">
      <c r="A248" t="s">
        <v>7</v>
      </c>
      <c r="B248" t="s">
        <v>4</v>
      </c>
      <c r="C248" s="1">
        <v>478</v>
      </c>
      <c r="D248" s="1">
        <v>150</v>
      </c>
      <c r="E248">
        <v>215</v>
      </c>
      <c r="F248">
        <v>5650</v>
      </c>
      <c r="G248" t="s">
        <v>2</v>
      </c>
    </row>
    <row r="249" spans="1:7" x14ac:dyDescent="0.45">
      <c r="A249" t="s">
        <v>7</v>
      </c>
      <c r="B249" t="s">
        <v>4</v>
      </c>
      <c r="C249" s="1">
        <v>482</v>
      </c>
      <c r="D249" s="1">
        <v>143</v>
      </c>
      <c r="E249">
        <v>210</v>
      </c>
      <c r="F249">
        <v>4600</v>
      </c>
      <c r="G249" t="s">
        <v>3</v>
      </c>
    </row>
    <row r="250" spans="1:7" x14ac:dyDescent="0.45">
      <c r="A250" t="s">
        <v>7</v>
      </c>
      <c r="B250" t="s">
        <v>4</v>
      </c>
      <c r="C250" s="1">
        <v>500</v>
      </c>
      <c r="D250" s="1">
        <v>153</v>
      </c>
      <c r="E250">
        <v>220</v>
      </c>
      <c r="F250">
        <v>5550</v>
      </c>
      <c r="G250" t="s">
        <v>2</v>
      </c>
    </row>
    <row r="251" spans="1:7" x14ac:dyDescent="0.45">
      <c r="A251" t="s">
        <v>7</v>
      </c>
      <c r="B251" t="s">
        <v>4</v>
      </c>
      <c r="C251" s="1">
        <v>473</v>
      </c>
      <c r="D251" s="1">
        <v>153</v>
      </c>
      <c r="E251">
        <v>222</v>
      </c>
      <c r="F251">
        <v>5250</v>
      </c>
      <c r="G251" t="s">
        <v>2</v>
      </c>
    </row>
    <row r="252" spans="1:7" x14ac:dyDescent="0.45">
      <c r="A252" t="s">
        <v>7</v>
      </c>
      <c r="B252" t="s">
        <v>4</v>
      </c>
      <c r="C252" s="1">
        <v>428</v>
      </c>
      <c r="D252" s="1">
        <v>142</v>
      </c>
      <c r="E252">
        <v>209</v>
      </c>
      <c r="F252">
        <v>4700</v>
      </c>
      <c r="G252" t="s">
        <v>3</v>
      </c>
    </row>
    <row r="253" spans="1:7" x14ac:dyDescent="0.45">
      <c r="A253" t="s">
        <v>7</v>
      </c>
      <c r="B253" t="s">
        <v>4</v>
      </c>
      <c r="C253" s="1">
        <v>451</v>
      </c>
      <c r="D253" s="1">
        <v>145</v>
      </c>
      <c r="E253">
        <v>207</v>
      </c>
      <c r="F253">
        <v>5050</v>
      </c>
      <c r="G253" t="s">
        <v>3</v>
      </c>
    </row>
    <row r="254" spans="1:7" x14ac:dyDescent="0.45">
      <c r="A254" t="s">
        <v>7</v>
      </c>
      <c r="B254" t="s">
        <v>4</v>
      </c>
      <c r="C254" s="1">
        <v>596</v>
      </c>
      <c r="D254" s="1">
        <v>170</v>
      </c>
      <c r="E254">
        <v>230</v>
      </c>
      <c r="F254">
        <v>6050</v>
      </c>
      <c r="G254" t="s">
        <v>2</v>
      </c>
    </row>
    <row r="255" spans="1:7" x14ac:dyDescent="0.45">
      <c r="A255" t="s">
        <v>7</v>
      </c>
      <c r="B255" t="s">
        <v>4</v>
      </c>
      <c r="C255" s="1">
        <v>491</v>
      </c>
      <c r="D255" s="1">
        <v>148</v>
      </c>
      <c r="E255">
        <v>220</v>
      </c>
      <c r="F255">
        <v>5150</v>
      </c>
      <c r="G255" t="s">
        <v>3</v>
      </c>
    </row>
    <row r="256" spans="1:7" x14ac:dyDescent="0.45">
      <c r="A256" t="s">
        <v>7</v>
      </c>
      <c r="B256" t="s">
        <v>4</v>
      </c>
      <c r="C256" s="1">
        <v>484</v>
      </c>
      <c r="D256" s="1">
        <v>163</v>
      </c>
      <c r="E256">
        <v>220</v>
      </c>
      <c r="F256">
        <v>5400</v>
      </c>
      <c r="G256" t="s">
        <v>2</v>
      </c>
    </row>
    <row r="257" spans="1:7" x14ac:dyDescent="0.45">
      <c r="A257" t="s">
        <v>7</v>
      </c>
      <c r="B257" t="s">
        <v>4</v>
      </c>
      <c r="C257" s="1">
        <v>426</v>
      </c>
      <c r="D257" s="1">
        <v>137</v>
      </c>
      <c r="E257">
        <v>213</v>
      </c>
      <c r="F257">
        <v>4950</v>
      </c>
      <c r="G257" t="s">
        <v>3</v>
      </c>
    </row>
    <row r="258" spans="1:7" x14ac:dyDescent="0.45">
      <c r="A258" t="s">
        <v>7</v>
      </c>
      <c r="B258" t="s">
        <v>4</v>
      </c>
      <c r="C258" s="1">
        <v>444</v>
      </c>
      <c r="D258" s="1">
        <v>173</v>
      </c>
      <c r="E258">
        <v>219</v>
      </c>
      <c r="F258">
        <v>5250</v>
      </c>
      <c r="G258" t="s">
        <v>2</v>
      </c>
    </row>
    <row r="259" spans="1:7" x14ac:dyDescent="0.45">
      <c r="A259" t="s">
        <v>7</v>
      </c>
      <c r="B259" t="s">
        <v>4</v>
      </c>
      <c r="C259" s="1">
        <v>440</v>
      </c>
      <c r="D259" s="1">
        <v>136</v>
      </c>
      <c r="E259">
        <v>208</v>
      </c>
      <c r="F259">
        <v>4350</v>
      </c>
      <c r="G259" t="s">
        <v>3</v>
      </c>
    </row>
    <row r="260" spans="1:7" x14ac:dyDescent="0.45">
      <c r="A260" t="s">
        <v>7</v>
      </c>
      <c r="B260" t="s">
        <v>4</v>
      </c>
      <c r="C260" s="1">
        <v>487</v>
      </c>
      <c r="D260" s="1">
        <v>157</v>
      </c>
      <c r="E260">
        <v>208</v>
      </c>
      <c r="F260">
        <v>5350</v>
      </c>
      <c r="G260" t="s">
        <v>2</v>
      </c>
    </row>
    <row r="261" spans="1:7" x14ac:dyDescent="0.45">
      <c r="A261" t="s">
        <v>7</v>
      </c>
      <c r="B261" t="s">
        <v>4</v>
      </c>
      <c r="C261" s="1">
        <v>427</v>
      </c>
      <c r="D261" s="1">
        <v>137</v>
      </c>
      <c r="E261">
        <v>208</v>
      </c>
      <c r="F261">
        <v>3950</v>
      </c>
      <c r="G261" t="s">
        <v>3</v>
      </c>
    </row>
    <row r="262" spans="1:7" x14ac:dyDescent="0.45">
      <c r="A262" t="s">
        <v>7</v>
      </c>
      <c r="B262" t="s">
        <v>4</v>
      </c>
      <c r="C262" s="1">
        <v>496</v>
      </c>
      <c r="D262" s="1">
        <v>160</v>
      </c>
      <c r="E262">
        <v>225</v>
      </c>
      <c r="F262">
        <v>5700</v>
      </c>
      <c r="G262" t="s">
        <v>2</v>
      </c>
    </row>
    <row r="263" spans="1:7" x14ac:dyDescent="0.45">
      <c r="A263" t="s">
        <v>7</v>
      </c>
      <c r="B263" t="s">
        <v>4</v>
      </c>
      <c r="C263" s="1">
        <v>453</v>
      </c>
      <c r="D263" s="1">
        <v>137</v>
      </c>
      <c r="E263">
        <v>210</v>
      </c>
      <c r="F263">
        <v>4300</v>
      </c>
      <c r="G263" t="s">
        <v>3</v>
      </c>
    </row>
    <row r="264" spans="1:7" x14ac:dyDescent="0.45">
      <c r="A264" t="s">
        <v>7</v>
      </c>
      <c r="B264" t="s">
        <v>4</v>
      </c>
      <c r="C264" s="1">
        <v>496</v>
      </c>
      <c r="D264" s="1">
        <v>150</v>
      </c>
      <c r="E264">
        <v>216</v>
      </c>
      <c r="F264">
        <v>4750</v>
      </c>
      <c r="G264" t="s">
        <v>2</v>
      </c>
    </row>
    <row r="265" spans="1:7" x14ac:dyDescent="0.45">
      <c r="A265" t="s">
        <v>7</v>
      </c>
      <c r="B265" t="s">
        <v>4</v>
      </c>
      <c r="C265" s="1">
        <v>505</v>
      </c>
      <c r="D265" s="1">
        <v>159</v>
      </c>
      <c r="E265">
        <v>222</v>
      </c>
      <c r="F265">
        <v>5550</v>
      </c>
      <c r="G265" t="s">
        <v>2</v>
      </c>
    </row>
    <row r="266" spans="1:7" x14ac:dyDescent="0.45">
      <c r="A266" t="s">
        <v>7</v>
      </c>
      <c r="B266" t="s">
        <v>4</v>
      </c>
      <c r="C266" s="1">
        <v>436</v>
      </c>
      <c r="D266" s="1">
        <v>139</v>
      </c>
      <c r="E266">
        <v>217</v>
      </c>
      <c r="F266">
        <v>4900</v>
      </c>
      <c r="G266" t="s">
        <v>3</v>
      </c>
    </row>
    <row r="267" spans="1:7" x14ac:dyDescent="0.45">
      <c r="A267" t="s">
        <v>7</v>
      </c>
      <c r="B267" t="s">
        <v>4</v>
      </c>
      <c r="C267" s="1">
        <v>455</v>
      </c>
      <c r="D267" s="1">
        <v>139</v>
      </c>
      <c r="E267">
        <v>210</v>
      </c>
      <c r="F267">
        <v>4200</v>
      </c>
      <c r="G267" t="s">
        <v>3</v>
      </c>
    </row>
    <row r="268" spans="1:7" x14ac:dyDescent="0.45">
      <c r="A268" t="s">
        <v>7</v>
      </c>
      <c r="B268" t="s">
        <v>4</v>
      </c>
      <c r="C268" s="1">
        <v>505</v>
      </c>
      <c r="D268" s="1">
        <v>159</v>
      </c>
      <c r="E268">
        <v>225</v>
      </c>
      <c r="F268">
        <v>5400</v>
      </c>
      <c r="G268" t="s">
        <v>2</v>
      </c>
    </row>
    <row r="269" spans="1:7" x14ac:dyDescent="0.45">
      <c r="A269" t="s">
        <v>7</v>
      </c>
      <c r="B269" t="s">
        <v>4</v>
      </c>
      <c r="C269" s="1">
        <v>449</v>
      </c>
      <c r="D269" s="1">
        <v>133</v>
      </c>
      <c r="E269">
        <v>213</v>
      </c>
      <c r="F269">
        <v>5100</v>
      </c>
      <c r="G269" t="s">
        <v>3</v>
      </c>
    </row>
    <row r="270" spans="1:7" x14ac:dyDescent="0.45">
      <c r="A270" t="s">
        <v>7</v>
      </c>
      <c r="B270" t="s">
        <v>4</v>
      </c>
      <c r="C270" s="1">
        <v>452</v>
      </c>
      <c r="D270" s="1">
        <v>158</v>
      </c>
      <c r="E270">
        <v>215</v>
      </c>
      <c r="F270">
        <v>5300</v>
      </c>
      <c r="G270" t="s">
        <v>2</v>
      </c>
    </row>
    <row r="271" spans="1:7" x14ac:dyDescent="0.45">
      <c r="A271" t="s">
        <v>7</v>
      </c>
      <c r="B271" t="s">
        <v>4</v>
      </c>
      <c r="C271" s="1">
        <v>466</v>
      </c>
      <c r="D271" s="1">
        <v>142</v>
      </c>
      <c r="E271">
        <v>210</v>
      </c>
      <c r="F271">
        <v>4850</v>
      </c>
      <c r="G271" t="s">
        <v>3</v>
      </c>
    </row>
    <row r="272" spans="1:7" x14ac:dyDescent="0.45">
      <c r="A272" t="s">
        <v>7</v>
      </c>
      <c r="B272" t="s">
        <v>4</v>
      </c>
      <c r="C272" s="1">
        <v>485</v>
      </c>
      <c r="D272" s="1">
        <v>141</v>
      </c>
      <c r="E272">
        <v>220</v>
      </c>
      <c r="F272">
        <v>5300</v>
      </c>
      <c r="G272" t="s">
        <v>2</v>
      </c>
    </row>
    <row r="273" spans="1:7" x14ac:dyDescent="0.45">
      <c r="A273" t="s">
        <v>7</v>
      </c>
      <c r="B273" t="s">
        <v>4</v>
      </c>
      <c r="C273" s="1">
        <v>451</v>
      </c>
      <c r="D273" s="1">
        <v>144</v>
      </c>
      <c r="E273">
        <v>210</v>
      </c>
      <c r="F273">
        <v>4400</v>
      </c>
      <c r="G273" t="s">
        <v>3</v>
      </c>
    </row>
    <row r="274" spans="1:7" x14ac:dyDescent="0.45">
      <c r="A274" t="s">
        <v>7</v>
      </c>
      <c r="B274" t="s">
        <v>4</v>
      </c>
      <c r="C274" s="1">
        <v>501</v>
      </c>
      <c r="D274" s="1">
        <v>150</v>
      </c>
      <c r="E274">
        <v>225</v>
      </c>
      <c r="F274">
        <v>5000</v>
      </c>
      <c r="G274" t="s">
        <v>2</v>
      </c>
    </row>
    <row r="275" spans="1:7" x14ac:dyDescent="0.45">
      <c r="A275" t="s">
        <v>7</v>
      </c>
      <c r="B275" t="s">
        <v>4</v>
      </c>
      <c r="C275" s="1">
        <v>465</v>
      </c>
      <c r="D275" s="1">
        <v>144</v>
      </c>
      <c r="E275">
        <v>217</v>
      </c>
      <c r="F275">
        <v>4900</v>
      </c>
      <c r="G275" t="s">
        <v>3</v>
      </c>
    </row>
    <row r="276" spans="1:7" x14ac:dyDescent="0.45">
      <c r="A276" t="s">
        <v>7</v>
      </c>
      <c r="B276" t="s">
        <v>4</v>
      </c>
      <c r="C276" s="1">
        <v>450</v>
      </c>
      <c r="D276" s="1">
        <v>154</v>
      </c>
      <c r="E276">
        <v>220</v>
      </c>
      <c r="F276">
        <v>5050</v>
      </c>
      <c r="G276" t="s">
        <v>2</v>
      </c>
    </row>
    <row r="277" spans="1:7" x14ac:dyDescent="0.45">
      <c r="A277" t="s">
        <v>7</v>
      </c>
      <c r="B277" t="s">
        <v>4</v>
      </c>
      <c r="C277" s="1">
        <v>438</v>
      </c>
      <c r="D277" s="1">
        <v>139</v>
      </c>
      <c r="E277">
        <v>208</v>
      </c>
      <c r="F277">
        <v>4300</v>
      </c>
      <c r="G277" t="s">
        <v>3</v>
      </c>
    </row>
    <row r="278" spans="1:7" x14ac:dyDescent="0.45">
      <c r="A278" t="s">
        <v>7</v>
      </c>
      <c r="B278" t="s">
        <v>4</v>
      </c>
      <c r="C278" s="1">
        <v>455</v>
      </c>
      <c r="D278" s="1">
        <v>150</v>
      </c>
      <c r="E278">
        <v>220</v>
      </c>
      <c r="F278">
        <v>5000</v>
      </c>
      <c r="G278" t="s">
        <v>2</v>
      </c>
    </row>
    <row r="279" spans="1:7" x14ac:dyDescent="0.45">
      <c r="A279" t="s">
        <v>7</v>
      </c>
      <c r="B279" t="s">
        <v>4</v>
      </c>
      <c r="C279" s="1">
        <v>432</v>
      </c>
      <c r="D279" s="1">
        <v>145</v>
      </c>
      <c r="E279">
        <v>208</v>
      </c>
      <c r="F279">
        <v>4450</v>
      </c>
      <c r="G279" t="s">
        <v>3</v>
      </c>
    </row>
    <row r="280" spans="1:7" x14ac:dyDescent="0.45">
      <c r="A280" t="s">
        <v>7</v>
      </c>
      <c r="B280" t="s">
        <v>4</v>
      </c>
      <c r="C280" s="1">
        <v>504</v>
      </c>
      <c r="D280" s="1">
        <v>153</v>
      </c>
      <c r="E280">
        <v>224</v>
      </c>
      <c r="F280">
        <v>5550</v>
      </c>
      <c r="G280" t="s">
        <v>2</v>
      </c>
    </row>
    <row r="281" spans="1:7" x14ac:dyDescent="0.45">
      <c r="A281" t="s">
        <v>7</v>
      </c>
      <c r="B281" t="s">
        <v>4</v>
      </c>
      <c r="C281" s="1">
        <v>453</v>
      </c>
      <c r="D281" s="1">
        <v>138</v>
      </c>
      <c r="E281">
        <v>208</v>
      </c>
      <c r="F281">
        <v>4200</v>
      </c>
      <c r="G281" t="s">
        <v>3</v>
      </c>
    </row>
    <row r="282" spans="1:7" x14ac:dyDescent="0.45">
      <c r="A282" t="s">
        <v>7</v>
      </c>
      <c r="B282" t="s">
        <v>4</v>
      </c>
      <c r="C282" s="1">
        <v>462</v>
      </c>
      <c r="D282" s="1">
        <v>149</v>
      </c>
      <c r="E282">
        <v>221</v>
      </c>
      <c r="F282">
        <v>5300</v>
      </c>
      <c r="G282" t="s">
        <v>2</v>
      </c>
    </row>
    <row r="283" spans="1:7" x14ac:dyDescent="0.45">
      <c r="A283" t="s">
        <v>7</v>
      </c>
      <c r="B283" t="s">
        <v>4</v>
      </c>
      <c r="C283" s="1">
        <v>457</v>
      </c>
      <c r="D283" s="1">
        <v>139</v>
      </c>
      <c r="E283">
        <v>214</v>
      </c>
      <c r="F283">
        <v>4400</v>
      </c>
      <c r="G283" t="s">
        <v>3</v>
      </c>
    </row>
    <row r="284" spans="1:7" x14ac:dyDescent="0.45">
      <c r="A284" t="s">
        <v>7</v>
      </c>
      <c r="B284" t="s">
        <v>4</v>
      </c>
      <c r="C284" s="1">
        <v>543</v>
      </c>
      <c r="D284" s="1">
        <v>157</v>
      </c>
      <c r="E284">
        <v>231</v>
      </c>
      <c r="F284">
        <v>5650</v>
      </c>
      <c r="G284" t="s">
        <v>2</v>
      </c>
    </row>
    <row r="285" spans="1:7" x14ac:dyDescent="0.45">
      <c r="A285" t="s">
        <v>7</v>
      </c>
      <c r="B285" t="s">
        <v>4</v>
      </c>
      <c r="C285" s="1">
        <v>458</v>
      </c>
      <c r="D285" s="1">
        <v>142</v>
      </c>
      <c r="E285">
        <v>219</v>
      </c>
      <c r="F285">
        <v>4700</v>
      </c>
      <c r="G285" t="s">
        <v>3</v>
      </c>
    </row>
    <row r="286" spans="1:7" x14ac:dyDescent="0.45">
      <c r="A286" t="s">
        <v>7</v>
      </c>
      <c r="B286" t="s">
        <v>4</v>
      </c>
      <c r="C286" s="1">
        <v>498</v>
      </c>
      <c r="D286" s="1">
        <v>168</v>
      </c>
      <c r="E286">
        <v>230</v>
      </c>
      <c r="F286">
        <v>5700</v>
      </c>
      <c r="G286" t="s">
        <v>2</v>
      </c>
    </row>
    <row r="287" spans="1:7" x14ac:dyDescent="0.45">
      <c r="A287" t="s">
        <v>7</v>
      </c>
      <c r="B287" t="s">
        <v>4</v>
      </c>
      <c r="C287" s="1">
        <v>462</v>
      </c>
      <c r="D287" s="1">
        <v>144</v>
      </c>
      <c r="E287">
        <v>214</v>
      </c>
      <c r="F287">
        <v>4650</v>
      </c>
      <c r="G287" t="s">
        <v>3</v>
      </c>
    </row>
    <row r="288" spans="1:7" x14ac:dyDescent="0.45">
      <c r="A288" t="s">
        <v>7</v>
      </c>
      <c r="B288" t="s">
        <v>4</v>
      </c>
      <c r="C288" s="1">
        <v>495</v>
      </c>
      <c r="D288" s="1">
        <v>162</v>
      </c>
      <c r="E288">
        <v>229</v>
      </c>
      <c r="F288">
        <v>5800</v>
      </c>
      <c r="G288" t="s">
        <v>2</v>
      </c>
    </row>
    <row r="289" spans="1:7" x14ac:dyDescent="0.45">
      <c r="A289" t="s">
        <v>7</v>
      </c>
      <c r="B289" t="s">
        <v>4</v>
      </c>
      <c r="C289" s="1">
        <v>435</v>
      </c>
      <c r="D289" s="1">
        <v>142</v>
      </c>
      <c r="E289">
        <v>220</v>
      </c>
      <c r="F289">
        <v>4700</v>
      </c>
      <c r="G289" t="s">
        <v>3</v>
      </c>
    </row>
    <row r="290" spans="1:7" x14ac:dyDescent="0.45">
      <c r="A290" t="s">
        <v>7</v>
      </c>
      <c r="B290" t="s">
        <v>4</v>
      </c>
      <c r="C290" s="1">
        <v>507</v>
      </c>
      <c r="D290" s="1">
        <v>150</v>
      </c>
      <c r="E290">
        <v>223</v>
      </c>
      <c r="F290">
        <v>5550</v>
      </c>
      <c r="G290" t="s">
        <v>2</v>
      </c>
    </row>
    <row r="291" spans="1:7" x14ac:dyDescent="0.45">
      <c r="A291" t="s">
        <v>7</v>
      </c>
      <c r="B291" t="s">
        <v>4</v>
      </c>
      <c r="C291" s="1">
        <v>477</v>
      </c>
      <c r="D291" s="1">
        <v>150</v>
      </c>
      <c r="E291">
        <v>216</v>
      </c>
      <c r="F291">
        <v>4750</v>
      </c>
      <c r="G291" t="s">
        <v>3</v>
      </c>
    </row>
    <row r="292" spans="1:7" x14ac:dyDescent="0.45">
      <c r="A292" t="s">
        <v>7</v>
      </c>
      <c r="B292" t="s">
        <v>4</v>
      </c>
      <c r="C292" s="1">
        <v>464</v>
      </c>
      <c r="D292" s="1">
        <v>156</v>
      </c>
      <c r="E292">
        <v>221</v>
      </c>
      <c r="F292">
        <v>5000</v>
      </c>
      <c r="G292" t="s">
        <v>2</v>
      </c>
    </row>
    <row r="293" spans="1:7" x14ac:dyDescent="0.45">
      <c r="A293" t="s">
        <v>7</v>
      </c>
      <c r="B293" t="s">
        <v>4</v>
      </c>
      <c r="C293" s="1">
        <v>482</v>
      </c>
      <c r="D293" s="1">
        <v>156</v>
      </c>
      <c r="E293">
        <v>221</v>
      </c>
      <c r="F293">
        <v>5100</v>
      </c>
      <c r="G293" t="s">
        <v>2</v>
      </c>
    </row>
    <row r="294" spans="1:7" x14ac:dyDescent="0.45">
      <c r="A294" t="s">
        <v>7</v>
      </c>
      <c r="B294" t="s">
        <v>4</v>
      </c>
      <c r="C294" s="1">
        <v>465</v>
      </c>
      <c r="D294" s="1">
        <v>148</v>
      </c>
      <c r="E294">
        <v>217</v>
      </c>
      <c r="F294">
        <v>5200</v>
      </c>
      <c r="G294" t="s">
        <v>3</v>
      </c>
    </row>
    <row r="295" spans="1:7" x14ac:dyDescent="0.45">
      <c r="A295" t="s">
        <v>7</v>
      </c>
      <c r="B295" t="s">
        <v>4</v>
      </c>
      <c r="C295" s="1">
        <v>464</v>
      </c>
      <c r="D295" s="1">
        <v>150</v>
      </c>
      <c r="E295">
        <v>216</v>
      </c>
      <c r="F295">
        <v>4700</v>
      </c>
      <c r="G295" t="s">
        <v>3</v>
      </c>
    </row>
    <row r="296" spans="1:7" x14ac:dyDescent="0.45">
      <c r="A296" t="s">
        <v>7</v>
      </c>
      <c r="B296" t="s">
        <v>4</v>
      </c>
      <c r="C296" s="1">
        <v>486</v>
      </c>
      <c r="D296" s="1">
        <v>160</v>
      </c>
      <c r="E296">
        <v>230</v>
      </c>
      <c r="F296">
        <v>5800</v>
      </c>
      <c r="G296" t="s">
        <v>2</v>
      </c>
    </row>
    <row r="297" spans="1:7" x14ac:dyDescent="0.45">
      <c r="A297" t="s">
        <v>7</v>
      </c>
      <c r="B297" t="s">
        <v>4</v>
      </c>
      <c r="C297" s="1">
        <v>475</v>
      </c>
      <c r="D297" s="1">
        <v>142</v>
      </c>
      <c r="E297">
        <v>209</v>
      </c>
      <c r="F297">
        <v>4600</v>
      </c>
      <c r="G297" t="s">
        <v>3</v>
      </c>
    </row>
    <row r="298" spans="1:7" x14ac:dyDescent="0.45">
      <c r="A298" t="s">
        <v>7</v>
      </c>
      <c r="B298" t="s">
        <v>4</v>
      </c>
      <c r="C298" s="1">
        <v>511</v>
      </c>
      <c r="D298" s="1">
        <v>163</v>
      </c>
      <c r="E298">
        <v>220</v>
      </c>
      <c r="F298">
        <v>6000</v>
      </c>
      <c r="G298" t="s">
        <v>2</v>
      </c>
    </row>
    <row r="299" spans="1:7" x14ac:dyDescent="0.45">
      <c r="A299" t="s">
        <v>7</v>
      </c>
      <c r="B299" t="s">
        <v>4</v>
      </c>
      <c r="C299" s="1">
        <v>452</v>
      </c>
      <c r="D299" s="1">
        <v>138</v>
      </c>
      <c r="E299">
        <v>215</v>
      </c>
      <c r="F299">
        <v>4750</v>
      </c>
      <c r="G299" t="s">
        <v>3</v>
      </c>
    </row>
    <row r="300" spans="1:7" x14ac:dyDescent="0.45">
      <c r="A300" t="s">
        <v>7</v>
      </c>
      <c r="B300" t="s">
        <v>4</v>
      </c>
      <c r="C300" s="1">
        <v>452</v>
      </c>
      <c r="D300" s="1">
        <v>164</v>
      </c>
      <c r="E300">
        <v>223</v>
      </c>
      <c r="F300">
        <v>5950</v>
      </c>
      <c r="G300" t="s">
        <v>2</v>
      </c>
    </row>
    <row r="301" spans="1:7" x14ac:dyDescent="0.45">
      <c r="A301" t="s">
        <v>7</v>
      </c>
      <c r="B301" t="s">
        <v>4</v>
      </c>
      <c r="C301" s="1">
        <v>491</v>
      </c>
      <c r="D301" s="1">
        <v>145</v>
      </c>
      <c r="E301">
        <v>212</v>
      </c>
      <c r="F301">
        <v>4625</v>
      </c>
      <c r="G301" t="s">
        <v>3</v>
      </c>
    </row>
    <row r="302" spans="1:7" x14ac:dyDescent="0.45">
      <c r="A302" t="s">
        <v>7</v>
      </c>
      <c r="B302" t="s">
        <v>4</v>
      </c>
      <c r="C302" s="1">
        <v>525</v>
      </c>
      <c r="D302" s="1">
        <v>156</v>
      </c>
      <c r="E302">
        <v>221</v>
      </c>
      <c r="F302">
        <v>5450</v>
      </c>
      <c r="G302" t="s">
        <v>2</v>
      </c>
    </row>
    <row r="303" spans="1:7" x14ac:dyDescent="0.45">
      <c r="A303" t="s">
        <v>7</v>
      </c>
      <c r="B303" t="s">
        <v>4</v>
      </c>
      <c r="C303" s="1">
        <v>474</v>
      </c>
      <c r="D303" s="1">
        <v>146</v>
      </c>
      <c r="E303">
        <v>212</v>
      </c>
      <c r="F303">
        <v>4725</v>
      </c>
      <c r="G303" t="s">
        <v>3</v>
      </c>
    </row>
    <row r="304" spans="1:7" x14ac:dyDescent="0.45">
      <c r="A304" t="s">
        <v>7</v>
      </c>
      <c r="B304" t="s">
        <v>4</v>
      </c>
      <c r="C304" s="1">
        <v>500</v>
      </c>
      <c r="D304" s="1">
        <v>159</v>
      </c>
      <c r="E304">
        <v>224</v>
      </c>
      <c r="F304">
        <v>5350</v>
      </c>
      <c r="G304" t="s">
        <v>2</v>
      </c>
    </row>
    <row r="305" spans="1:7" x14ac:dyDescent="0.45">
      <c r="A305" t="s">
        <v>7</v>
      </c>
      <c r="B305" t="s">
        <v>4</v>
      </c>
      <c r="C305" s="1">
        <v>449</v>
      </c>
      <c r="D305" s="1">
        <v>138</v>
      </c>
      <c r="E305">
        <v>212</v>
      </c>
      <c r="F305">
        <v>4750</v>
      </c>
      <c r="G305" t="s">
        <v>3</v>
      </c>
    </row>
    <row r="306" spans="1:7" x14ac:dyDescent="0.45">
      <c r="A306" t="s">
        <v>7</v>
      </c>
      <c r="B306" t="s">
        <v>4</v>
      </c>
      <c r="C306" s="1">
        <v>508</v>
      </c>
      <c r="D306" s="1">
        <v>173</v>
      </c>
      <c r="E306">
        <v>228</v>
      </c>
      <c r="F306">
        <v>5600</v>
      </c>
      <c r="G306" t="s">
        <v>2</v>
      </c>
    </row>
    <row r="307" spans="1:7" x14ac:dyDescent="0.45">
      <c r="A307" t="s">
        <v>7</v>
      </c>
      <c r="B307" t="s">
        <v>4</v>
      </c>
      <c r="C307" s="1">
        <v>434</v>
      </c>
      <c r="D307" s="1">
        <v>144</v>
      </c>
      <c r="E307">
        <v>218</v>
      </c>
      <c r="F307">
        <v>4600</v>
      </c>
      <c r="G307" t="s">
        <v>3</v>
      </c>
    </row>
    <row r="308" spans="1:7" x14ac:dyDescent="0.45">
      <c r="A308" t="s">
        <v>7</v>
      </c>
      <c r="B308" t="s">
        <v>4</v>
      </c>
      <c r="C308" s="1">
        <v>513</v>
      </c>
      <c r="D308" s="1">
        <v>142</v>
      </c>
      <c r="E308">
        <v>218</v>
      </c>
      <c r="F308">
        <v>5300</v>
      </c>
      <c r="G308" t="s">
        <v>2</v>
      </c>
    </row>
    <row r="309" spans="1:7" x14ac:dyDescent="0.45">
      <c r="A309" t="s">
        <v>7</v>
      </c>
      <c r="B309" t="s">
        <v>4</v>
      </c>
      <c r="C309" s="1">
        <v>475</v>
      </c>
      <c r="D309" s="1">
        <v>140</v>
      </c>
      <c r="E309">
        <v>212</v>
      </c>
      <c r="F309">
        <v>4875</v>
      </c>
      <c r="G309" t="s">
        <v>3</v>
      </c>
    </row>
    <row r="310" spans="1:7" x14ac:dyDescent="0.45">
      <c r="A310" t="s">
        <v>7</v>
      </c>
      <c r="B310" t="s">
        <v>4</v>
      </c>
      <c r="C310" s="1">
        <v>521</v>
      </c>
      <c r="D310" s="1">
        <v>170</v>
      </c>
      <c r="E310">
        <v>230</v>
      </c>
      <c r="F310">
        <v>5550</v>
      </c>
      <c r="G310" t="s">
        <v>2</v>
      </c>
    </row>
    <row r="311" spans="1:7" x14ac:dyDescent="0.45">
      <c r="A311" t="s">
        <v>7</v>
      </c>
      <c r="B311" t="s">
        <v>4</v>
      </c>
      <c r="C311" s="1">
        <v>475</v>
      </c>
      <c r="D311" s="1">
        <v>150</v>
      </c>
      <c r="E311">
        <v>218</v>
      </c>
      <c r="F311">
        <v>4950</v>
      </c>
      <c r="G311" t="s">
        <v>3</v>
      </c>
    </row>
    <row r="312" spans="1:7" x14ac:dyDescent="0.45">
      <c r="A312" t="s">
        <v>7</v>
      </c>
      <c r="B312" t="s">
        <v>4</v>
      </c>
      <c r="C312" s="1">
        <v>522</v>
      </c>
      <c r="D312" s="1">
        <v>171</v>
      </c>
      <c r="E312">
        <v>228</v>
      </c>
      <c r="F312">
        <v>5400</v>
      </c>
      <c r="G312" t="s">
        <v>2</v>
      </c>
    </row>
    <row r="313" spans="1:7" x14ac:dyDescent="0.45">
      <c r="A313" t="s">
        <v>7</v>
      </c>
      <c r="B313" t="s">
        <v>4</v>
      </c>
      <c r="C313" s="1">
        <v>455</v>
      </c>
      <c r="D313" s="1">
        <v>145</v>
      </c>
      <c r="E313">
        <v>212</v>
      </c>
      <c r="F313">
        <v>4750</v>
      </c>
      <c r="G313" t="s">
        <v>3</v>
      </c>
    </row>
    <row r="314" spans="1:7" x14ac:dyDescent="0.45">
      <c r="A314" t="s">
        <v>7</v>
      </c>
      <c r="B314" t="s">
        <v>4</v>
      </c>
      <c r="C314" s="1">
        <v>495</v>
      </c>
      <c r="D314" s="1">
        <v>161</v>
      </c>
      <c r="E314">
        <v>224</v>
      </c>
      <c r="F314">
        <v>5650</v>
      </c>
      <c r="G314" t="s">
        <v>2</v>
      </c>
    </row>
    <row r="315" spans="1:7" x14ac:dyDescent="0.45">
      <c r="A315" t="s">
        <v>7</v>
      </c>
      <c r="B315" t="s">
        <v>4</v>
      </c>
      <c r="C315" s="1">
        <v>445</v>
      </c>
      <c r="D315" s="1">
        <v>147</v>
      </c>
      <c r="E315">
        <v>214</v>
      </c>
      <c r="F315">
        <v>4850</v>
      </c>
      <c r="G315" t="s">
        <v>3</v>
      </c>
    </row>
    <row r="316" spans="1:7" x14ac:dyDescent="0.45">
      <c r="A316" t="s">
        <v>7</v>
      </c>
      <c r="B316" t="s">
        <v>4</v>
      </c>
      <c r="C316" s="1">
        <v>508</v>
      </c>
      <c r="D316" s="1">
        <v>157</v>
      </c>
      <c r="E316">
        <v>226</v>
      </c>
      <c r="F316">
        <v>5200</v>
      </c>
      <c r="G316" t="s">
        <v>2</v>
      </c>
    </row>
    <row r="317" spans="1:7" x14ac:dyDescent="0.45">
      <c r="A317" t="s">
        <v>7</v>
      </c>
      <c r="B317" t="s">
        <v>4</v>
      </c>
      <c r="C317" s="1">
        <v>494</v>
      </c>
      <c r="D317" s="1">
        <v>158</v>
      </c>
      <c r="E317">
        <v>216</v>
      </c>
      <c r="F317">
        <v>4925</v>
      </c>
      <c r="G317" t="s">
        <v>2</v>
      </c>
    </row>
    <row r="318" spans="1:7" x14ac:dyDescent="0.45">
      <c r="A318" t="s">
        <v>7</v>
      </c>
      <c r="B318" t="s">
        <v>4</v>
      </c>
      <c r="C318" s="1">
        <v>469</v>
      </c>
      <c r="D318" s="1">
        <v>146</v>
      </c>
      <c r="E318">
        <v>222</v>
      </c>
      <c r="F318">
        <v>4875</v>
      </c>
      <c r="G318" t="s">
        <v>3</v>
      </c>
    </row>
    <row r="319" spans="1:7" x14ac:dyDescent="0.45">
      <c r="A319" t="s">
        <v>7</v>
      </c>
      <c r="B319" t="s">
        <v>4</v>
      </c>
      <c r="C319" s="1">
        <v>484</v>
      </c>
      <c r="D319" s="1">
        <v>144</v>
      </c>
      <c r="E319">
        <v>203</v>
      </c>
      <c r="F319">
        <v>4625</v>
      </c>
      <c r="G319" t="s">
        <v>3</v>
      </c>
    </row>
    <row r="320" spans="1:7" x14ac:dyDescent="0.45">
      <c r="A320" t="s">
        <v>7</v>
      </c>
      <c r="B320" t="s">
        <v>4</v>
      </c>
      <c r="C320" s="1">
        <v>511</v>
      </c>
      <c r="D320" s="1">
        <v>165</v>
      </c>
      <c r="E320">
        <v>225</v>
      </c>
      <c r="F320">
        <v>5250</v>
      </c>
      <c r="G320" t="s">
        <v>2</v>
      </c>
    </row>
    <row r="321" spans="1:7" x14ac:dyDescent="0.45">
      <c r="A321" t="s">
        <v>7</v>
      </c>
      <c r="B321" t="s">
        <v>4</v>
      </c>
      <c r="C321" s="1">
        <v>485</v>
      </c>
      <c r="D321" s="1">
        <v>150</v>
      </c>
      <c r="E321">
        <v>219</v>
      </c>
      <c r="F321">
        <v>4850</v>
      </c>
      <c r="G321" t="s">
        <v>3</v>
      </c>
    </row>
    <row r="322" spans="1:7" x14ac:dyDescent="0.45">
      <c r="A322" t="s">
        <v>7</v>
      </c>
      <c r="B322" t="s">
        <v>4</v>
      </c>
      <c r="C322" s="1">
        <v>559</v>
      </c>
      <c r="D322" s="1">
        <v>170</v>
      </c>
      <c r="E322">
        <v>228</v>
      </c>
      <c r="F322">
        <v>5600</v>
      </c>
      <c r="G322" t="s">
        <v>2</v>
      </c>
    </row>
    <row r="323" spans="1:7" x14ac:dyDescent="0.45">
      <c r="A323" t="s">
        <v>7</v>
      </c>
      <c r="B323" t="s">
        <v>4</v>
      </c>
      <c r="C323" s="1">
        <v>472</v>
      </c>
      <c r="D323" s="1">
        <v>155</v>
      </c>
      <c r="E323">
        <v>215</v>
      </c>
      <c r="F323">
        <v>4975</v>
      </c>
      <c r="G323" t="s">
        <v>3</v>
      </c>
    </row>
    <row r="324" spans="1:7" x14ac:dyDescent="0.45">
      <c r="A324" t="s">
        <v>7</v>
      </c>
      <c r="B324" t="s">
        <v>4</v>
      </c>
      <c r="C324" s="1">
        <v>491</v>
      </c>
      <c r="D324" s="1">
        <v>150</v>
      </c>
      <c r="E324">
        <v>228</v>
      </c>
      <c r="F324">
        <v>5500</v>
      </c>
      <c r="G324" t="s">
        <v>2</v>
      </c>
    </row>
    <row r="325" spans="1:7" x14ac:dyDescent="0.45">
      <c r="A325" t="s">
        <v>7</v>
      </c>
      <c r="B325" t="s">
        <v>4</v>
      </c>
      <c r="C325" s="1">
        <v>473</v>
      </c>
      <c r="D325" s="1">
        <v>138</v>
      </c>
      <c r="E325">
        <v>216</v>
      </c>
      <c r="F325">
        <v>4725</v>
      </c>
      <c r="G325" t="s">
        <v>2</v>
      </c>
    </row>
    <row r="326" spans="1:7" x14ac:dyDescent="0.45">
      <c r="A326" t="s">
        <v>7</v>
      </c>
      <c r="B326" t="s">
        <v>4</v>
      </c>
      <c r="C326" s="1">
        <v>468</v>
      </c>
      <c r="D326" s="1">
        <v>161</v>
      </c>
      <c r="E326">
        <v>215</v>
      </c>
      <c r="F326">
        <v>5500</v>
      </c>
      <c r="G326" t="s">
        <v>2</v>
      </c>
    </row>
    <row r="327" spans="1:7" x14ac:dyDescent="0.45">
      <c r="A327" t="s">
        <v>7</v>
      </c>
      <c r="B327" t="s">
        <v>4</v>
      </c>
      <c r="C327" s="1">
        <v>417</v>
      </c>
      <c r="D327" s="1">
        <v>147</v>
      </c>
      <c r="E327">
        <v>210</v>
      </c>
      <c r="F327">
        <v>4700</v>
      </c>
      <c r="G327" t="s">
        <v>3</v>
      </c>
    </row>
    <row r="328" spans="1:7" x14ac:dyDescent="0.45">
      <c r="A328" t="s">
        <v>7</v>
      </c>
      <c r="B328" t="s">
        <v>4</v>
      </c>
      <c r="C328" s="1">
        <v>534</v>
      </c>
      <c r="D328" s="1">
        <v>158</v>
      </c>
      <c r="E328">
        <v>219</v>
      </c>
      <c r="F328">
        <v>5500</v>
      </c>
      <c r="G328" t="s">
        <v>2</v>
      </c>
    </row>
    <row r="329" spans="1:7" x14ac:dyDescent="0.45">
      <c r="A329" t="s">
        <v>7</v>
      </c>
      <c r="B329" t="s">
        <v>4</v>
      </c>
      <c r="C329" s="1">
        <v>433</v>
      </c>
      <c r="D329" s="1">
        <v>140</v>
      </c>
      <c r="E329">
        <v>208</v>
      </c>
      <c r="F329">
        <v>4575</v>
      </c>
      <c r="G329" t="s">
        <v>3</v>
      </c>
    </row>
    <row r="330" spans="1:7" x14ac:dyDescent="0.45">
      <c r="A330" t="s">
        <v>7</v>
      </c>
      <c r="B330" t="s">
        <v>4</v>
      </c>
      <c r="C330" s="1">
        <v>481</v>
      </c>
      <c r="D330" s="1">
        <v>151</v>
      </c>
      <c r="E330">
        <v>209</v>
      </c>
      <c r="F330">
        <v>5500</v>
      </c>
      <c r="G330" t="s">
        <v>2</v>
      </c>
    </row>
    <row r="331" spans="1:7" x14ac:dyDescent="0.45">
      <c r="A331" t="s">
        <v>7</v>
      </c>
      <c r="B331" t="s">
        <v>4</v>
      </c>
      <c r="C331" s="1">
        <v>505</v>
      </c>
      <c r="D331" s="1">
        <v>152</v>
      </c>
      <c r="E331">
        <v>216</v>
      </c>
      <c r="F331">
        <v>5000</v>
      </c>
      <c r="G331" t="s">
        <v>3</v>
      </c>
    </row>
    <row r="332" spans="1:7" x14ac:dyDescent="0.45">
      <c r="A332" t="s">
        <v>7</v>
      </c>
      <c r="B332" t="s">
        <v>4</v>
      </c>
      <c r="C332" s="1">
        <v>498</v>
      </c>
      <c r="D332" s="1">
        <v>159</v>
      </c>
      <c r="E332">
        <v>229</v>
      </c>
      <c r="F332">
        <v>5950</v>
      </c>
      <c r="G332" t="s">
        <v>2</v>
      </c>
    </row>
    <row r="333" spans="1:7" x14ac:dyDescent="0.45">
      <c r="A333" t="s">
        <v>7</v>
      </c>
      <c r="B333" t="s">
        <v>4</v>
      </c>
      <c r="C333" s="1">
        <v>435</v>
      </c>
      <c r="D333" s="1">
        <v>152</v>
      </c>
      <c r="E333">
        <v>213</v>
      </c>
      <c r="F333">
        <v>4650</v>
      </c>
      <c r="G333" t="s">
        <v>3</v>
      </c>
    </row>
    <row r="334" spans="1:7" x14ac:dyDescent="0.45">
      <c r="A334" t="s">
        <v>7</v>
      </c>
      <c r="B334" t="s">
        <v>4</v>
      </c>
      <c r="C334" s="1">
        <v>515</v>
      </c>
      <c r="D334" s="1">
        <v>163</v>
      </c>
      <c r="E334">
        <v>230</v>
      </c>
      <c r="F334">
        <v>5500</v>
      </c>
      <c r="G334" t="s">
        <v>2</v>
      </c>
    </row>
    <row r="335" spans="1:7" x14ac:dyDescent="0.45">
      <c r="A335" t="s">
        <v>7</v>
      </c>
      <c r="B335" t="s">
        <v>4</v>
      </c>
      <c r="C335" s="1">
        <v>462</v>
      </c>
      <c r="D335" s="1">
        <v>141</v>
      </c>
      <c r="E335">
        <v>217</v>
      </c>
      <c r="F335">
        <v>4375</v>
      </c>
      <c r="G335" t="s">
        <v>3</v>
      </c>
    </row>
    <row r="336" spans="1:7" x14ac:dyDescent="0.45">
      <c r="A336" t="s">
        <v>7</v>
      </c>
      <c r="B336" t="s">
        <v>4</v>
      </c>
      <c r="C336" s="1">
        <v>551</v>
      </c>
      <c r="D336" s="1">
        <v>160</v>
      </c>
      <c r="E336">
        <v>230</v>
      </c>
      <c r="F336">
        <v>5850</v>
      </c>
      <c r="G336" t="s">
        <v>2</v>
      </c>
    </row>
    <row r="337" spans="1:10" x14ac:dyDescent="0.45">
      <c r="A337" t="s">
        <v>7</v>
      </c>
      <c r="B337" t="s">
        <v>4</v>
      </c>
      <c r="C337" s="1">
        <v>445</v>
      </c>
      <c r="D337" s="1">
        <v>157</v>
      </c>
      <c r="E337">
        <v>217</v>
      </c>
      <c r="F337">
        <v>4875</v>
      </c>
      <c r="G337" t="s">
        <v>2</v>
      </c>
    </row>
    <row r="338" spans="1:10" x14ac:dyDescent="0.45">
      <c r="A338" t="s">
        <v>7</v>
      </c>
      <c r="B338" t="s">
        <v>4</v>
      </c>
      <c r="C338" s="1">
        <v>488</v>
      </c>
      <c r="D338" s="1">
        <v>162</v>
      </c>
      <c r="E338">
        <v>222</v>
      </c>
      <c r="F338">
        <v>6000</v>
      </c>
      <c r="G338" t="s">
        <v>2</v>
      </c>
    </row>
    <row r="339" spans="1:10" x14ac:dyDescent="0.45">
      <c r="A339" t="s">
        <v>7</v>
      </c>
      <c r="B339" t="s">
        <v>4</v>
      </c>
      <c r="C339" s="1">
        <v>472</v>
      </c>
      <c r="D339" s="1">
        <v>137</v>
      </c>
      <c r="E339">
        <v>214</v>
      </c>
      <c r="F339">
        <v>4925</v>
      </c>
      <c r="G339" t="s">
        <v>3</v>
      </c>
    </row>
    <row r="340" spans="1:10" x14ac:dyDescent="0.45">
      <c r="A340" t="s">
        <v>7</v>
      </c>
      <c r="B340" t="s">
        <v>4</v>
      </c>
      <c r="C340" s="1">
        <v>468</v>
      </c>
      <c r="D340" s="1">
        <v>143</v>
      </c>
      <c r="E340">
        <v>215</v>
      </c>
      <c r="F340">
        <v>4850</v>
      </c>
      <c r="G340" t="s">
        <v>3</v>
      </c>
    </row>
    <row r="341" spans="1:10" x14ac:dyDescent="0.45">
      <c r="A341" t="s">
        <v>7</v>
      </c>
      <c r="B341" t="s">
        <v>4</v>
      </c>
      <c r="C341" s="1">
        <v>504</v>
      </c>
      <c r="D341" s="1">
        <v>157</v>
      </c>
      <c r="E341">
        <v>222</v>
      </c>
      <c r="F341">
        <v>5750</v>
      </c>
      <c r="G341" t="s">
        <v>2</v>
      </c>
    </row>
    <row r="342" spans="1:10" x14ac:dyDescent="0.45">
      <c r="A342" t="s">
        <v>7</v>
      </c>
      <c r="B342" t="s">
        <v>4</v>
      </c>
      <c r="C342" s="1">
        <v>452</v>
      </c>
      <c r="D342" s="1">
        <v>148</v>
      </c>
      <c r="E342">
        <v>212</v>
      </c>
      <c r="F342">
        <v>5200</v>
      </c>
      <c r="G342" t="s">
        <v>3</v>
      </c>
    </row>
    <row r="343" spans="1:10" x14ac:dyDescent="0.45">
      <c r="A343" t="s">
        <v>7</v>
      </c>
      <c r="B343" t="s">
        <v>4</v>
      </c>
      <c r="C343" s="1">
        <v>499</v>
      </c>
      <c r="D343" s="1">
        <v>161</v>
      </c>
      <c r="E343">
        <v>213</v>
      </c>
      <c r="F343">
        <v>5400</v>
      </c>
      <c r="G343" t="s">
        <v>2</v>
      </c>
    </row>
    <row r="344" spans="1:10" ht="14.65" thickBot="1" x14ac:dyDescent="0.5"/>
    <row r="345" spans="1:10" ht="14.65" thickBot="1" x14ac:dyDescent="0.5">
      <c r="A345" s="8">
        <v>391</v>
      </c>
      <c r="B345" s="8"/>
      <c r="C345" s="8">
        <v>187</v>
      </c>
      <c r="D345" s="8"/>
      <c r="E345" s="8">
        <v>181</v>
      </c>
      <c r="F345" s="8"/>
      <c r="G345" s="8">
        <v>3750</v>
      </c>
      <c r="H345" s="8"/>
    </row>
    <row r="346" spans="1:10" x14ac:dyDescent="0.45">
      <c r="I346" s="8"/>
      <c r="J346" s="8"/>
    </row>
    <row r="347" spans="1:10" x14ac:dyDescent="0.45">
      <c r="A347" t="s">
        <v>24</v>
      </c>
      <c r="B347">
        <v>438.62280701754383</v>
      </c>
      <c r="C347" t="s">
        <v>24</v>
      </c>
      <c r="D347">
        <v>171.46627565982405</v>
      </c>
      <c r="E347" t="s">
        <v>24</v>
      </c>
      <c r="F347">
        <v>200.91520467836258</v>
      </c>
      <c r="G347" t="s">
        <v>24</v>
      </c>
      <c r="H347">
        <v>4247.3639279358667</v>
      </c>
    </row>
    <row r="348" spans="1:10" x14ac:dyDescent="0.45">
      <c r="A348" t="s">
        <v>25</v>
      </c>
      <c r="B348">
        <v>3.0397383287457762</v>
      </c>
      <c r="C348" t="s">
        <v>25</v>
      </c>
      <c r="D348">
        <v>1.0700127206923264</v>
      </c>
      <c r="E348" t="s">
        <v>25</v>
      </c>
      <c r="F348">
        <v>0.76037039219971958</v>
      </c>
      <c r="G348" t="s">
        <v>25</v>
      </c>
      <c r="H348">
        <v>191.41990373293444</v>
      </c>
    </row>
    <row r="349" spans="1:10" x14ac:dyDescent="0.45">
      <c r="A349" t="s">
        <v>26</v>
      </c>
      <c r="B349">
        <v>444.5</v>
      </c>
      <c r="C349" t="s">
        <v>26</v>
      </c>
      <c r="D349">
        <v>173</v>
      </c>
      <c r="E349" t="s">
        <v>26</v>
      </c>
      <c r="F349">
        <v>197</v>
      </c>
      <c r="G349" t="s">
        <v>26</v>
      </c>
      <c r="H349">
        <v>4000</v>
      </c>
    </row>
    <row r="350" spans="1:10" x14ac:dyDescent="0.45">
      <c r="A350" t="s">
        <v>27</v>
      </c>
      <c r="B350">
        <v>411</v>
      </c>
      <c r="C350" t="s">
        <v>27</v>
      </c>
      <c r="D350">
        <v>170</v>
      </c>
      <c r="E350" t="s">
        <v>27</v>
      </c>
      <c r="F350">
        <v>190</v>
      </c>
      <c r="G350" t="s">
        <v>27</v>
      </c>
      <c r="H350">
        <v>3800</v>
      </c>
    </row>
    <row r="351" spans="1:10" x14ac:dyDescent="0.45">
      <c r="A351" t="s">
        <v>28</v>
      </c>
      <c r="B351">
        <v>56.214616557245925</v>
      </c>
      <c r="C351" t="s">
        <v>28</v>
      </c>
      <c r="D351">
        <v>19.75905318716455</v>
      </c>
      <c r="E351" t="s">
        <v>28</v>
      </c>
      <c r="F351">
        <v>14.061713679356892</v>
      </c>
      <c r="G351" t="s">
        <v>28</v>
      </c>
      <c r="H351">
        <v>3601.54399653462</v>
      </c>
    </row>
    <row r="352" spans="1:10" x14ac:dyDescent="0.45">
      <c r="A352" t="s">
        <v>29</v>
      </c>
      <c r="B352">
        <v>3160.0831146781875</v>
      </c>
      <c r="C352" t="s">
        <v>29</v>
      </c>
      <c r="D352">
        <v>390.42018285319756</v>
      </c>
      <c r="E352" t="s">
        <v>29</v>
      </c>
      <c r="F352">
        <v>197.73179160021274</v>
      </c>
      <c r="G352" t="s">
        <v>29</v>
      </c>
      <c r="H352">
        <v>12971119.158974562</v>
      </c>
    </row>
    <row r="353" spans="1:10" x14ac:dyDescent="0.45">
      <c r="A353" t="s">
        <v>30</v>
      </c>
      <c r="B353">
        <v>8.6049812222054545E-2</v>
      </c>
      <c r="C353" t="s">
        <v>30</v>
      </c>
      <c r="D353">
        <v>-0.90783055656102185</v>
      </c>
      <c r="E353" t="s">
        <v>30</v>
      </c>
      <c r="F353">
        <v>-0.98427288618388697</v>
      </c>
      <c r="G353" t="s">
        <v>30</v>
      </c>
      <c r="H353">
        <v>292.81632909476201</v>
      </c>
    </row>
    <row r="354" spans="1:10" x14ac:dyDescent="0.45">
      <c r="A354" t="s">
        <v>31</v>
      </c>
      <c r="B354">
        <v>-0.18388492812692542</v>
      </c>
      <c r="C354" t="s">
        <v>31</v>
      </c>
      <c r="D354">
        <v>-0.13813433068757305</v>
      </c>
      <c r="E354" t="s">
        <v>31</v>
      </c>
      <c r="F354">
        <v>0.34568183286876797</v>
      </c>
      <c r="G354" t="s">
        <v>31</v>
      </c>
      <c r="H354">
        <v>16.290349874919883</v>
      </c>
    </row>
    <row r="355" spans="1:10" x14ac:dyDescent="0.45">
      <c r="A355" t="s">
        <v>32</v>
      </c>
      <c r="B355">
        <v>409</v>
      </c>
      <c r="C355" t="s">
        <v>32</v>
      </c>
      <c r="D355">
        <v>84</v>
      </c>
      <c r="E355" t="s">
        <v>32</v>
      </c>
      <c r="F355">
        <v>59</v>
      </c>
      <c r="G355" t="s">
        <v>32</v>
      </c>
      <c r="H355">
        <v>68713.984272886184</v>
      </c>
    </row>
    <row r="356" spans="1:10" x14ac:dyDescent="0.45">
      <c r="A356" t="s">
        <v>33</v>
      </c>
      <c r="B356">
        <v>187</v>
      </c>
      <c r="C356" t="s">
        <v>33</v>
      </c>
      <c r="D356">
        <v>131</v>
      </c>
      <c r="E356" t="s">
        <v>33</v>
      </c>
      <c r="F356">
        <v>172</v>
      </c>
      <c r="G356" t="s">
        <v>33</v>
      </c>
      <c r="H356">
        <v>-0.98427288618388697</v>
      </c>
    </row>
    <row r="357" spans="1:10" x14ac:dyDescent="0.45">
      <c r="A357" t="s">
        <v>34</v>
      </c>
      <c r="B357">
        <v>596</v>
      </c>
      <c r="C357" t="s">
        <v>34</v>
      </c>
      <c r="D357">
        <v>215</v>
      </c>
      <c r="E357" t="s">
        <v>34</v>
      </c>
      <c r="F357">
        <v>231</v>
      </c>
      <c r="G357" t="s">
        <v>34</v>
      </c>
      <c r="H357">
        <v>68713</v>
      </c>
    </row>
    <row r="358" spans="1:10" x14ac:dyDescent="0.45">
      <c r="A358" t="s">
        <v>35</v>
      </c>
      <c r="B358">
        <v>150009</v>
      </c>
      <c r="C358" t="s">
        <v>35</v>
      </c>
      <c r="D358">
        <v>58470</v>
      </c>
      <c r="E358" t="s">
        <v>35</v>
      </c>
      <c r="F358">
        <v>68713</v>
      </c>
      <c r="G358" t="s">
        <v>35</v>
      </c>
      <c r="H358">
        <v>1503566.8304892969</v>
      </c>
    </row>
    <row r="359" spans="1:10" ht="14.65" thickBot="1" x14ac:dyDescent="0.5">
      <c r="A359" s="7" t="s">
        <v>36</v>
      </c>
      <c r="B359" s="7">
        <v>342</v>
      </c>
      <c r="C359" s="7" t="s">
        <v>36</v>
      </c>
      <c r="D359" s="7">
        <v>341</v>
      </c>
      <c r="E359" s="7" t="s">
        <v>36</v>
      </c>
      <c r="F359" s="7">
        <v>342</v>
      </c>
      <c r="G359" s="7" t="s">
        <v>36</v>
      </c>
      <c r="H359" s="7">
        <v>354</v>
      </c>
    </row>
    <row r="360" spans="1:10" ht="14.65" thickBot="1" x14ac:dyDescent="0.5">
      <c r="C360" s="7"/>
      <c r="D360" s="7"/>
      <c r="E360" s="7"/>
      <c r="F360" s="7"/>
      <c r="G360" s="7"/>
      <c r="H360" s="7"/>
      <c r="I360" s="7"/>
      <c r="J360" s="7"/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E68B-71C5-4F2E-8E7D-0CE79C58902E}">
  <dimension ref="A1:N343"/>
  <sheetViews>
    <sheetView topLeftCell="C1" workbookViewId="0">
      <selection activeCell="K8" sqref="K8"/>
    </sheetView>
  </sheetViews>
  <sheetFormatPr defaultColWidth="10.86328125" defaultRowHeight="14.25" x14ac:dyDescent="0.45"/>
  <cols>
    <col min="3" max="3" width="20.3984375" customWidth="1"/>
    <col min="4" max="4" width="19.1328125" customWidth="1"/>
    <col min="5" max="5" width="20" customWidth="1"/>
    <col min="6" max="6" width="17" customWidth="1"/>
    <col min="10" max="10" width="14.86328125" customWidth="1"/>
    <col min="11" max="11" width="18.86328125" bestFit="1" customWidth="1"/>
    <col min="12" max="12" width="18.3984375" bestFit="1" customWidth="1"/>
    <col min="13" max="13" width="18.265625" bestFit="1" customWidth="1"/>
    <col min="14" max="14" width="12.86328125" bestFit="1" customWidth="1"/>
  </cols>
  <sheetData>
    <row r="1" spans="1:14" x14ac:dyDescent="0.45">
      <c r="A1" t="s">
        <v>10</v>
      </c>
      <c r="B1" t="s">
        <v>11</v>
      </c>
      <c r="C1" t="s">
        <v>12</v>
      </c>
      <c r="D1" t="s">
        <v>13</v>
      </c>
      <c r="E1" t="s">
        <v>16</v>
      </c>
      <c r="F1" t="s">
        <v>14</v>
      </c>
      <c r="G1" t="s">
        <v>15</v>
      </c>
      <c r="K1" t="s">
        <v>12</v>
      </c>
      <c r="L1" t="s">
        <v>13</v>
      </c>
      <c r="M1" t="s">
        <v>16</v>
      </c>
      <c r="N1" t="s">
        <v>14</v>
      </c>
    </row>
    <row r="2" spans="1:14" x14ac:dyDescent="0.45">
      <c r="A2" t="s">
        <v>0</v>
      </c>
      <c r="B2" t="s">
        <v>1</v>
      </c>
      <c r="C2" s="1">
        <v>391</v>
      </c>
      <c r="D2" s="1">
        <v>187</v>
      </c>
      <c r="E2">
        <v>181</v>
      </c>
      <c r="F2">
        <v>3750</v>
      </c>
      <c r="G2" t="s">
        <v>2</v>
      </c>
      <c r="J2" s="2" t="s">
        <v>17</v>
      </c>
      <c r="K2" s="6">
        <f>AVERAGE(Table1[culmen_length_mm])</f>
        <v>439.21929824561403</v>
      </c>
      <c r="L2" s="6">
        <f>AVERAGE(Table1[height_width_mm])</f>
        <v>171.51169590643275</v>
      </c>
      <c r="M2" s="6">
        <f>AVERAGE(Table1[Flipper_length_mm])</f>
        <v>200.91520467836258</v>
      </c>
      <c r="N2" s="6">
        <f>AVERAGE(Table1[weight in grams])</f>
        <v>4201.7543859649122</v>
      </c>
    </row>
    <row r="3" spans="1:14" hidden="1" x14ac:dyDescent="0.45">
      <c r="A3" t="s">
        <v>0</v>
      </c>
      <c r="B3" t="s">
        <v>1</v>
      </c>
      <c r="C3" s="1">
        <v>395</v>
      </c>
      <c r="D3" s="1">
        <v>174</v>
      </c>
      <c r="E3">
        <v>186</v>
      </c>
      <c r="F3">
        <v>3800</v>
      </c>
      <c r="G3" t="s">
        <v>3</v>
      </c>
      <c r="J3" s="2" t="s">
        <v>8</v>
      </c>
      <c r="K3" s="6"/>
      <c r="L3" s="6"/>
      <c r="M3" s="6"/>
      <c r="N3" s="6"/>
    </row>
    <row r="4" spans="1:14" hidden="1" x14ac:dyDescent="0.45">
      <c r="A4" t="s">
        <v>0</v>
      </c>
      <c r="B4" t="s">
        <v>1</v>
      </c>
      <c r="C4" s="1">
        <v>403</v>
      </c>
      <c r="D4" s="1">
        <v>180</v>
      </c>
      <c r="E4">
        <v>195</v>
      </c>
      <c r="F4">
        <v>3250</v>
      </c>
      <c r="G4" t="s">
        <v>3</v>
      </c>
      <c r="J4" s="2" t="s">
        <v>9</v>
      </c>
    </row>
    <row r="5" spans="1:14" hidden="1" x14ac:dyDescent="0.45">
      <c r="A5" t="s">
        <v>0</v>
      </c>
      <c r="B5" t="s">
        <v>1</v>
      </c>
      <c r="C5" s="1">
        <v>367</v>
      </c>
      <c r="D5" s="1">
        <v>193</v>
      </c>
      <c r="E5">
        <v>193</v>
      </c>
      <c r="F5">
        <v>3450</v>
      </c>
      <c r="G5" t="s">
        <v>3</v>
      </c>
      <c r="J5" s="2" t="s">
        <v>18</v>
      </c>
    </row>
    <row r="6" spans="1:14" x14ac:dyDescent="0.45">
      <c r="A6" t="s">
        <v>0</v>
      </c>
      <c r="B6" t="s">
        <v>1</v>
      </c>
      <c r="C6" s="1">
        <v>393</v>
      </c>
      <c r="D6" s="1">
        <v>206</v>
      </c>
      <c r="E6">
        <v>190</v>
      </c>
      <c r="F6">
        <v>3650</v>
      </c>
      <c r="G6" t="s">
        <v>2</v>
      </c>
      <c r="J6" s="2" t="s">
        <v>37</v>
      </c>
    </row>
    <row r="7" spans="1:14" hidden="1" x14ac:dyDescent="0.45">
      <c r="A7" t="s">
        <v>0</v>
      </c>
      <c r="B7" t="s">
        <v>1</v>
      </c>
      <c r="C7" s="1">
        <v>389</v>
      </c>
      <c r="D7" s="1">
        <v>178</v>
      </c>
      <c r="E7">
        <v>181</v>
      </c>
      <c r="F7">
        <v>3625</v>
      </c>
      <c r="G7" t="s">
        <v>3</v>
      </c>
      <c r="J7" s="2" t="s">
        <v>38</v>
      </c>
    </row>
    <row r="8" spans="1:14" x14ac:dyDescent="0.45">
      <c r="A8" t="s">
        <v>0</v>
      </c>
      <c r="B8" t="s">
        <v>1</v>
      </c>
      <c r="C8" s="1">
        <v>392</v>
      </c>
      <c r="D8" s="1">
        <v>196</v>
      </c>
      <c r="E8">
        <v>195</v>
      </c>
      <c r="F8">
        <v>4675</v>
      </c>
      <c r="G8" t="s">
        <v>2</v>
      </c>
      <c r="J8" s="2" t="s">
        <v>19</v>
      </c>
    </row>
    <row r="9" spans="1:14" x14ac:dyDescent="0.45">
      <c r="A9" t="s">
        <v>0</v>
      </c>
      <c r="B9" t="s">
        <v>1</v>
      </c>
      <c r="C9" s="1">
        <v>341</v>
      </c>
      <c r="D9" s="1">
        <v>181</v>
      </c>
      <c r="E9">
        <v>193</v>
      </c>
      <c r="F9">
        <v>3475</v>
      </c>
      <c r="G9" t="s">
        <v>2</v>
      </c>
      <c r="J9" s="2" t="s">
        <v>20</v>
      </c>
    </row>
    <row r="10" spans="1:14" x14ac:dyDescent="0.45">
      <c r="A10" t="s">
        <v>0</v>
      </c>
      <c r="B10" t="s">
        <v>1</v>
      </c>
      <c r="C10" s="1">
        <v>420</v>
      </c>
      <c r="D10" s="1">
        <v>202</v>
      </c>
      <c r="E10">
        <v>190</v>
      </c>
      <c r="F10">
        <v>4250</v>
      </c>
      <c r="G10" t="s">
        <v>2</v>
      </c>
      <c r="J10" s="2" t="s">
        <v>21</v>
      </c>
    </row>
    <row r="11" spans="1:14" x14ac:dyDescent="0.45">
      <c r="A11" t="s">
        <v>0</v>
      </c>
      <c r="B11" t="s">
        <v>1</v>
      </c>
      <c r="C11" s="1">
        <v>378</v>
      </c>
      <c r="D11" s="1">
        <v>171</v>
      </c>
      <c r="E11">
        <v>186</v>
      </c>
      <c r="F11">
        <v>3300</v>
      </c>
      <c r="G11" t="s">
        <v>2</v>
      </c>
      <c r="J11" s="2" t="s">
        <v>22</v>
      </c>
    </row>
    <row r="12" spans="1:14" x14ac:dyDescent="0.45">
      <c r="A12" t="s">
        <v>0</v>
      </c>
      <c r="B12" t="s">
        <v>1</v>
      </c>
      <c r="C12" s="1">
        <v>378</v>
      </c>
      <c r="D12" s="1">
        <v>173</v>
      </c>
      <c r="E12">
        <v>180</v>
      </c>
      <c r="F12">
        <v>3700</v>
      </c>
      <c r="G12" t="s">
        <v>2</v>
      </c>
      <c r="J12" s="2" t="s">
        <v>23</v>
      </c>
    </row>
    <row r="13" spans="1:14" hidden="1" x14ac:dyDescent="0.45">
      <c r="A13" t="s">
        <v>0</v>
      </c>
      <c r="B13" t="s">
        <v>1</v>
      </c>
      <c r="C13" s="1">
        <v>411</v>
      </c>
      <c r="D13" s="1">
        <v>176</v>
      </c>
      <c r="E13">
        <v>182</v>
      </c>
      <c r="F13">
        <v>3200</v>
      </c>
      <c r="G13" t="s">
        <v>3</v>
      </c>
    </row>
    <row r="14" spans="1:14" x14ac:dyDescent="0.45">
      <c r="A14" t="s">
        <v>0</v>
      </c>
      <c r="B14" t="s">
        <v>1</v>
      </c>
      <c r="C14" s="1">
        <v>386</v>
      </c>
      <c r="D14" s="1">
        <v>212</v>
      </c>
      <c r="E14">
        <v>191</v>
      </c>
      <c r="F14">
        <v>3800</v>
      </c>
      <c r="G14" t="s">
        <v>2</v>
      </c>
    </row>
    <row r="15" spans="1:14" x14ac:dyDescent="0.45">
      <c r="A15" t="s">
        <v>0</v>
      </c>
      <c r="B15" t="s">
        <v>1</v>
      </c>
      <c r="C15" s="1">
        <v>346</v>
      </c>
      <c r="D15" s="1">
        <v>211</v>
      </c>
      <c r="E15">
        <v>198</v>
      </c>
      <c r="F15">
        <v>4400</v>
      </c>
      <c r="G15" t="s">
        <v>2</v>
      </c>
    </row>
    <row r="16" spans="1:14" hidden="1" x14ac:dyDescent="0.45">
      <c r="A16" t="s">
        <v>0</v>
      </c>
      <c r="B16" t="s">
        <v>1</v>
      </c>
      <c r="C16" s="1">
        <v>366</v>
      </c>
      <c r="D16" s="1">
        <v>178</v>
      </c>
      <c r="E16">
        <v>185</v>
      </c>
      <c r="F16">
        <v>3700</v>
      </c>
      <c r="G16" t="s">
        <v>3</v>
      </c>
    </row>
    <row r="17" spans="1:7" hidden="1" x14ac:dyDescent="0.45">
      <c r="A17" t="s">
        <v>0</v>
      </c>
      <c r="B17" t="s">
        <v>1</v>
      </c>
      <c r="C17" s="1">
        <v>387</v>
      </c>
      <c r="D17" s="1">
        <v>190</v>
      </c>
      <c r="E17">
        <v>195</v>
      </c>
      <c r="F17">
        <v>3450</v>
      </c>
      <c r="G17" t="s">
        <v>3</v>
      </c>
    </row>
    <row r="18" spans="1:7" x14ac:dyDescent="0.45">
      <c r="A18" t="s">
        <v>0</v>
      </c>
      <c r="B18" t="s">
        <v>1</v>
      </c>
      <c r="C18" s="1">
        <v>425</v>
      </c>
      <c r="D18" s="1">
        <v>207</v>
      </c>
      <c r="E18">
        <v>197</v>
      </c>
      <c r="F18">
        <v>4500</v>
      </c>
      <c r="G18" t="s">
        <v>2</v>
      </c>
    </row>
    <row r="19" spans="1:7" hidden="1" x14ac:dyDescent="0.45">
      <c r="A19" t="s">
        <v>0</v>
      </c>
      <c r="B19" t="s">
        <v>1</v>
      </c>
      <c r="C19" s="1">
        <v>344</v>
      </c>
      <c r="D19" s="1">
        <v>184</v>
      </c>
      <c r="E19">
        <v>184</v>
      </c>
      <c r="F19">
        <v>3325</v>
      </c>
      <c r="G19" t="s">
        <v>3</v>
      </c>
    </row>
    <row r="20" spans="1:7" x14ac:dyDescent="0.45">
      <c r="A20" t="s">
        <v>0</v>
      </c>
      <c r="B20" t="s">
        <v>1</v>
      </c>
      <c r="C20" s="1">
        <v>460</v>
      </c>
      <c r="D20" s="1">
        <v>215</v>
      </c>
      <c r="E20">
        <v>194</v>
      </c>
      <c r="F20">
        <v>4200</v>
      </c>
      <c r="G20" t="s">
        <v>2</v>
      </c>
    </row>
    <row r="21" spans="1:7" hidden="1" x14ac:dyDescent="0.45">
      <c r="A21" t="s">
        <v>0</v>
      </c>
      <c r="B21" t="s">
        <v>4</v>
      </c>
      <c r="C21" s="1">
        <v>378</v>
      </c>
      <c r="D21" s="1">
        <v>183</v>
      </c>
      <c r="E21">
        <v>174</v>
      </c>
      <c r="F21">
        <v>3400</v>
      </c>
      <c r="G21" t="s">
        <v>3</v>
      </c>
    </row>
    <row r="22" spans="1:7" x14ac:dyDescent="0.45">
      <c r="A22" t="s">
        <v>0</v>
      </c>
      <c r="B22" t="s">
        <v>4</v>
      </c>
      <c r="C22" s="1">
        <v>377</v>
      </c>
      <c r="D22" s="1">
        <v>187</v>
      </c>
      <c r="E22">
        <v>180</v>
      </c>
      <c r="F22">
        <v>3600</v>
      </c>
      <c r="G22" t="s">
        <v>2</v>
      </c>
    </row>
    <row r="23" spans="1:7" hidden="1" x14ac:dyDescent="0.45">
      <c r="A23" t="s">
        <v>0</v>
      </c>
      <c r="B23" t="s">
        <v>4</v>
      </c>
      <c r="C23" s="1">
        <v>359</v>
      </c>
      <c r="D23" s="1">
        <v>192</v>
      </c>
      <c r="E23">
        <v>189</v>
      </c>
      <c r="F23">
        <v>3800</v>
      </c>
      <c r="G23" t="s">
        <v>3</v>
      </c>
    </row>
    <row r="24" spans="1:7" x14ac:dyDescent="0.45">
      <c r="A24" t="s">
        <v>0</v>
      </c>
      <c r="B24" t="s">
        <v>4</v>
      </c>
      <c r="C24" s="1">
        <v>382</v>
      </c>
      <c r="D24" s="1">
        <v>181</v>
      </c>
      <c r="E24">
        <v>185</v>
      </c>
      <c r="F24">
        <v>3950</v>
      </c>
      <c r="G24" t="s">
        <v>2</v>
      </c>
    </row>
    <row r="25" spans="1:7" x14ac:dyDescent="0.45">
      <c r="A25" t="s">
        <v>0</v>
      </c>
      <c r="B25" t="s">
        <v>4</v>
      </c>
      <c r="C25" s="1">
        <v>388</v>
      </c>
      <c r="D25" s="1">
        <v>172</v>
      </c>
      <c r="E25">
        <v>180</v>
      </c>
      <c r="F25">
        <v>3800</v>
      </c>
      <c r="G25" t="s">
        <v>2</v>
      </c>
    </row>
    <row r="26" spans="1:7" hidden="1" x14ac:dyDescent="0.45">
      <c r="A26" t="s">
        <v>0</v>
      </c>
      <c r="B26" t="s">
        <v>4</v>
      </c>
      <c r="C26" s="1">
        <v>353</v>
      </c>
      <c r="D26" s="1">
        <v>189</v>
      </c>
      <c r="E26">
        <v>187</v>
      </c>
      <c r="F26">
        <v>3800</v>
      </c>
      <c r="G26" t="s">
        <v>3</v>
      </c>
    </row>
    <row r="27" spans="1:7" x14ac:dyDescent="0.45">
      <c r="A27" t="s">
        <v>0</v>
      </c>
      <c r="B27" t="s">
        <v>4</v>
      </c>
      <c r="C27" s="1">
        <v>406</v>
      </c>
      <c r="D27" s="1">
        <v>186</v>
      </c>
      <c r="E27">
        <v>183</v>
      </c>
      <c r="F27">
        <v>3550</v>
      </c>
      <c r="G27" t="s">
        <v>2</v>
      </c>
    </row>
    <row r="28" spans="1:7" hidden="1" x14ac:dyDescent="0.45">
      <c r="A28" t="s">
        <v>0</v>
      </c>
      <c r="B28" t="s">
        <v>4</v>
      </c>
      <c r="C28" s="1">
        <v>405</v>
      </c>
      <c r="D28" s="1">
        <v>179</v>
      </c>
      <c r="E28">
        <v>187</v>
      </c>
      <c r="F28">
        <v>3200</v>
      </c>
      <c r="G28" t="s">
        <v>3</v>
      </c>
    </row>
    <row r="29" spans="1:7" hidden="1" x14ac:dyDescent="0.45">
      <c r="A29" t="s">
        <v>0</v>
      </c>
      <c r="B29" t="s">
        <v>4</v>
      </c>
      <c r="C29" s="1">
        <v>379</v>
      </c>
      <c r="D29" s="1">
        <v>186</v>
      </c>
      <c r="E29">
        <v>172</v>
      </c>
      <c r="F29">
        <v>3150</v>
      </c>
      <c r="G29" t="s">
        <v>3</v>
      </c>
    </row>
    <row r="30" spans="1:7" x14ac:dyDescent="0.45">
      <c r="A30" t="s">
        <v>0</v>
      </c>
      <c r="B30" t="s">
        <v>4</v>
      </c>
      <c r="C30" s="1">
        <v>405</v>
      </c>
      <c r="D30" s="1">
        <v>189</v>
      </c>
      <c r="E30">
        <v>180</v>
      </c>
      <c r="F30">
        <v>3950</v>
      </c>
      <c r="G30" t="s">
        <v>2</v>
      </c>
    </row>
    <row r="31" spans="1:7" hidden="1" x14ac:dyDescent="0.45">
      <c r="A31" t="s">
        <v>0</v>
      </c>
      <c r="B31" t="s">
        <v>5</v>
      </c>
      <c r="C31" s="1">
        <v>395</v>
      </c>
      <c r="D31" s="1">
        <v>167</v>
      </c>
      <c r="E31">
        <v>178</v>
      </c>
      <c r="F31">
        <v>3250</v>
      </c>
      <c r="G31" t="s">
        <v>3</v>
      </c>
    </row>
    <row r="32" spans="1:7" x14ac:dyDescent="0.45">
      <c r="A32" t="s">
        <v>0</v>
      </c>
      <c r="B32" t="s">
        <v>5</v>
      </c>
      <c r="C32" s="1">
        <v>372</v>
      </c>
      <c r="D32" s="1">
        <v>181</v>
      </c>
      <c r="E32">
        <v>178</v>
      </c>
      <c r="F32">
        <v>3900</v>
      </c>
      <c r="G32" t="s">
        <v>2</v>
      </c>
    </row>
    <row r="33" spans="1:7" hidden="1" x14ac:dyDescent="0.45">
      <c r="A33" t="s">
        <v>0</v>
      </c>
      <c r="B33" t="s">
        <v>5</v>
      </c>
      <c r="C33" s="1">
        <v>395</v>
      </c>
      <c r="D33" s="1">
        <v>178</v>
      </c>
      <c r="E33">
        <v>188</v>
      </c>
      <c r="F33">
        <v>3300</v>
      </c>
      <c r="G33" t="s">
        <v>3</v>
      </c>
    </row>
    <row r="34" spans="1:7" x14ac:dyDescent="0.45">
      <c r="A34" t="s">
        <v>0</v>
      </c>
      <c r="B34" t="s">
        <v>5</v>
      </c>
      <c r="C34" s="1">
        <v>409</v>
      </c>
      <c r="D34" s="1">
        <v>189</v>
      </c>
      <c r="E34">
        <v>184</v>
      </c>
      <c r="F34">
        <v>3900</v>
      </c>
      <c r="G34" t="s">
        <v>2</v>
      </c>
    </row>
    <row r="35" spans="1:7" hidden="1" x14ac:dyDescent="0.45">
      <c r="A35" t="s">
        <v>0</v>
      </c>
      <c r="B35" t="s">
        <v>5</v>
      </c>
      <c r="C35" s="1">
        <v>364</v>
      </c>
      <c r="D35" s="1">
        <v>170</v>
      </c>
      <c r="E35">
        <v>195</v>
      </c>
      <c r="F35">
        <v>3325</v>
      </c>
      <c r="G35" t="s">
        <v>3</v>
      </c>
    </row>
    <row r="36" spans="1:7" x14ac:dyDescent="0.45">
      <c r="A36" t="s">
        <v>0</v>
      </c>
      <c r="B36" t="s">
        <v>5</v>
      </c>
      <c r="C36" s="1">
        <v>392</v>
      </c>
      <c r="D36" s="1">
        <v>211</v>
      </c>
      <c r="E36">
        <v>196</v>
      </c>
      <c r="F36">
        <v>4150</v>
      </c>
      <c r="G36" t="s">
        <v>2</v>
      </c>
    </row>
    <row r="37" spans="1:7" x14ac:dyDescent="0.45">
      <c r="A37" t="s">
        <v>0</v>
      </c>
      <c r="B37" t="s">
        <v>5</v>
      </c>
      <c r="C37" s="1">
        <v>388</v>
      </c>
      <c r="D37" s="1">
        <v>200</v>
      </c>
      <c r="E37">
        <v>190</v>
      </c>
      <c r="F37">
        <v>3950</v>
      </c>
      <c r="G37" t="s">
        <v>2</v>
      </c>
    </row>
    <row r="38" spans="1:7" hidden="1" x14ac:dyDescent="0.45">
      <c r="A38" t="s">
        <v>0</v>
      </c>
      <c r="B38" t="s">
        <v>5</v>
      </c>
      <c r="C38" s="1">
        <v>422</v>
      </c>
      <c r="D38" s="1">
        <v>185</v>
      </c>
      <c r="E38">
        <v>180</v>
      </c>
      <c r="F38">
        <v>3550</v>
      </c>
      <c r="G38" t="s">
        <v>3</v>
      </c>
    </row>
    <row r="39" spans="1:7" hidden="1" x14ac:dyDescent="0.45">
      <c r="A39" t="s">
        <v>0</v>
      </c>
      <c r="B39" t="s">
        <v>5</v>
      </c>
      <c r="C39" s="1">
        <v>376</v>
      </c>
      <c r="D39" s="1">
        <v>193</v>
      </c>
      <c r="E39">
        <v>181</v>
      </c>
      <c r="F39">
        <v>3300</v>
      </c>
      <c r="G39" t="s">
        <v>3</v>
      </c>
    </row>
    <row r="40" spans="1:7" x14ac:dyDescent="0.45">
      <c r="A40" t="s">
        <v>0</v>
      </c>
      <c r="B40" t="s">
        <v>5</v>
      </c>
      <c r="C40" s="1">
        <v>398</v>
      </c>
      <c r="D40" s="1">
        <v>191</v>
      </c>
      <c r="E40">
        <v>184</v>
      </c>
      <c r="F40">
        <v>4650</v>
      </c>
      <c r="G40" t="s">
        <v>2</v>
      </c>
    </row>
    <row r="41" spans="1:7" hidden="1" x14ac:dyDescent="0.45">
      <c r="A41" t="s">
        <v>0</v>
      </c>
      <c r="B41" t="s">
        <v>5</v>
      </c>
      <c r="C41" s="1">
        <v>365</v>
      </c>
      <c r="D41" s="1">
        <v>180</v>
      </c>
      <c r="E41">
        <v>182</v>
      </c>
      <c r="F41">
        <v>3150</v>
      </c>
      <c r="G41" t="s">
        <v>3</v>
      </c>
    </row>
    <row r="42" spans="1:7" x14ac:dyDescent="0.45">
      <c r="A42" t="s">
        <v>0</v>
      </c>
      <c r="B42" t="s">
        <v>5</v>
      </c>
      <c r="C42" s="1">
        <v>408</v>
      </c>
      <c r="D42" s="1">
        <v>184</v>
      </c>
      <c r="E42">
        <v>195</v>
      </c>
      <c r="F42">
        <v>3900</v>
      </c>
      <c r="G42" t="s">
        <v>2</v>
      </c>
    </row>
    <row r="43" spans="1:7" hidden="1" x14ac:dyDescent="0.45">
      <c r="A43" t="s">
        <v>0</v>
      </c>
      <c r="B43" t="s">
        <v>5</v>
      </c>
      <c r="C43" s="1">
        <v>360</v>
      </c>
      <c r="D43" s="1">
        <v>185</v>
      </c>
      <c r="E43">
        <v>186</v>
      </c>
      <c r="F43">
        <v>3100</v>
      </c>
      <c r="G43" t="s">
        <v>3</v>
      </c>
    </row>
    <row r="44" spans="1:7" x14ac:dyDescent="0.45">
      <c r="A44" t="s">
        <v>0</v>
      </c>
      <c r="B44" t="s">
        <v>5</v>
      </c>
      <c r="C44" s="1">
        <v>441</v>
      </c>
      <c r="D44" s="1">
        <v>197</v>
      </c>
      <c r="E44">
        <v>196</v>
      </c>
      <c r="F44">
        <v>4400</v>
      </c>
      <c r="G44" t="s">
        <v>2</v>
      </c>
    </row>
    <row r="45" spans="1:7" hidden="1" x14ac:dyDescent="0.45">
      <c r="A45" t="s">
        <v>0</v>
      </c>
      <c r="B45" t="s">
        <v>5</v>
      </c>
      <c r="C45" s="1">
        <v>370</v>
      </c>
      <c r="D45" s="1">
        <v>169</v>
      </c>
      <c r="E45">
        <v>185</v>
      </c>
      <c r="F45">
        <v>3000</v>
      </c>
      <c r="G45" t="s">
        <v>3</v>
      </c>
    </row>
    <row r="46" spans="1:7" x14ac:dyDescent="0.45">
      <c r="A46" t="s">
        <v>0</v>
      </c>
      <c r="B46" t="s">
        <v>5</v>
      </c>
      <c r="C46" s="1">
        <v>396</v>
      </c>
      <c r="D46" s="1">
        <v>188</v>
      </c>
      <c r="E46">
        <v>190</v>
      </c>
      <c r="F46">
        <v>4600</v>
      </c>
      <c r="G46" t="s">
        <v>2</v>
      </c>
    </row>
    <row r="47" spans="1:7" x14ac:dyDescent="0.45">
      <c r="A47" t="s">
        <v>0</v>
      </c>
      <c r="B47" t="s">
        <v>5</v>
      </c>
      <c r="C47" s="1">
        <v>411</v>
      </c>
      <c r="D47" s="1">
        <v>190</v>
      </c>
      <c r="E47">
        <v>182</v>
      </c>
      <c r="F47">
        <v>3425</v>
      </c>
      <c r="G47" t="s">
        <v>2</v>
      </c>
    </row>
    <row r="48" spans="1:7" hidden="1" x14ac:dyDescent="0.45">
      <c r="A48" t="s">
        <v>0</v>
      </c>
      <c r="B48" t="s">
        <v>5</v>
      </c>
      <c r="C48" s="1">
        <v>375</v>
      </c>
      <c r="D48" s="1">
        <v>189</v>
      </c>
      <c r="E48">
        <v>179</v>
      </c>
      <c r="F48">
        <v>2975</v>
      </c>
      <c r="G48" t="s">
        <v>3</v>
      </c>
    </row>
    <row r="49" spans="1:7" hidden="1" x14ac:dyDescent="0.45">
      <c r="A49" t="s">
        <v>0</v>
      </c>
      <c r="B49" t="s">
        <v>5</v>
      </c>
      <c r="C49" s="1">
        <v>360</v>
      </c>
      <c r="D49" s="1">
        <v>179</v>
      </c>
      <c r="E49">
        <v>190</v>
      </c>
      <c r="F49">
        <v>3450</v>
      </c>
      <c r="G49" t="s">
        <v>3</v>
      </c>
    </row>
    <row r="50" spans="1:7" x14ac:dyDescent="0.45">
      <c r="A50" t="s">
        <v>0</v>
      </c>
      <c r="B50" t="s">
        <v>5</v>
      </c>
      <c r="C50" s="1">
        <v>423</v>
      </c>
      <c r="D50" s="1">
        <v>212</v>
      </c>
      <c r="E50">
        <v>191</v>
      </c>
      <c r="F50">
        <v>4150</v>
      </c>
      <c r="G50" t="s">
        <v>2</v>
      </c>
    </row>
    <row r="51" spans="1:7" hidden="1" x14ac:dyDescent="0.45">
      <c r="A51" t="s">
        <v>0</v>
      </c>
      <c r="B51" t="s">
        <v>4</v>
      </c>
      <c r="C51" s="1">
        <v>396</v>
      </c>
      <c r="D51" s="1">
        <v>177</v>
      </c>
      <c r="E51">
        <v>186</v>
      </c>
      <c r="F51">
        <v>3500</v>
      </c>
      <c r="G51" t="s">
        <v>3</v>
      </c>
    </row>
    <row r="52" spans="1:7" x14ac:dyDescent="0.45">
      <c r="A52" t="s">
        <v>0</v>
      </c>
      <c r="B52" t="s">
        <v>4</v>
      </c>
      <c r="C52" s="1">
        <v>401</v>
      </c>
      <c r="D52" s="1">
        <v>189</v>
      </c>
      <c r="E52">
        <v>188</v>
      </c>
      <c r="F52">
        <v>4300</v>
      </c>
      <c r="G52" t="s">
        <v>2</v>
      </c>
    </row>
    <row r="53" spans="1:7" hidden="1" x14ac:dyDescent="0.45">
      <c r="A53" t="s">
        <v>0</v>
      </c>
      <c r="B53" t="s">
        <v>4</v>
      </c>
      <c r="C53" s="1">
        <v>350</v>
      </c>
      <c r="D53" s="1">
        <v>179</v>
      </c>
      <c r="E53">
        <v>190</v>
      </c>
      <c r="F53">
        <v>3450</v>
      </c>
      <c r="G53" t="s">
        <v>3</v>
      </c>
    </row>
    <row r="54" spans="1:7" x14ac:dyDescent="0.45">
      <c r="A54" t="s">
        <v>0</v>
      </c>
      <c r="B54" t="s">
        <v>4</v>
      </c>
      <c r="C54" s="1">
        <v>420</v>
      </c>
      <c r="D54" s="1">
        <v>195</v>
      </c>
      <c r="E54">
        <v>200</v>
      </c>
      <c r="F54">
        <v>4050</v>
      </c>
      <c r="G54" t="s">
        <v>2</v>
      </c>
    </row>
    <row r="55" spans="1:7" hidden="1" x14ac:dyDescent="0.45">
      <c r="A55" t="s">
        <v>0</v>
      </c>
      <c r="B55" t="s">
        <v>4</v>
      </c>
      <c r="C55" s="1">
        <v>345</v>
      </c>
      <c r="D55" s="1">
        <v>181</v>
      </c>
      <c r="E55">
        <v>187</v>
      </c>
      <c r="F55">
        <v>2900</v>
      </c>
      <c r="G55" t="s">
        <v>3</v>
      </c>
    </row>
    <row r="56" spans="1:7" x14ac:dyDescent="0.45">
      <c r="A56" t="s">
        <v>0</v>
      </c>
      <c r="B56" t="s">
        <v>4</v>
      </c>
      <c r="C56" s="1">
        <v>414</v>
      </c>
      <c r="D56" s="1">
        <v>186</v>
      </c>
      <c r="E56">
        <v>191</v>
      </c>
      <c r="F56">
        <v>3700</v>
      </c>
      <c r="G56" t="s">
        <v>2</v>
      </c>
    </row>
    <row r="57" spans="1:7" hidden="1" x14ac:dyDescent="0.45">
      <c r="A57" t="s">
        <v>0</v>
      </c>
      <c r="B57" t="s">
        <v>4</v>
      </c>
      <c r="C57" s="1">
        <v>390</v>
      </c>
      <c r="D57" s="1">
        <v>175</v>
      </c>
      <c r="E57">
        <v>186</v>
      </c>
      <c r="F57">
        <v>3550</v>
      </c>
      <c r="G57" t="s">
        <v>3</v>
      </c>
    </row>
    <row r="58" spans="1:7" x14ac:dyDescent="0.45">
      <c r="A58" t="s">
        <v>0</v>
      </c>
      <c r="B58" t="s">
        <v>4</v>
      </c>
      <c r="C58" s="1">
        <v>406</v>
      </c>
      <c r="D58" s="1">
        <v>188</v>
      </c>
      <c r="E58">
        <v>193</v>
      </c>
      <c r="F58">
        <v>3800</v>
      </c>
      <c r="G58" t="s">
        <v>2</v>
      </c>
    </row>
    <row r="59" spans="1:7" hidden="1" x14ac:dyDescent="0.45">
      <c r="A59" t="s">
        <v>0</v>
      </c>
      <c r="B59" t="s">
        <v>4</v>
      </c>
      <c r="C59" s="1">
        <v>365</v>
      </c>
      <c r="D59" s="1">
        <v>166</v>
      </c>
      <c r="E59">
        <v>181</v>
      </c>
      <c r="F59">
        <v>2850</v>
      </c>
      <c r="G59" t="s">
        <v>3</v>
      </c>
    </row>
    <row r="60" spans="1:7" x14ac:dyDescent="0.45">
      <c r="A60" t="s">
        <v>0</v>
      </c>
      <c r="B60" t="s">
        <v>4</v>
      </c>
      <c r="C60" s="1">
        <v>376</v>
      </c>
      <c r="D60" s="1">
        <v>191</v>
      </c>
      <c r="E60">
        <v>194</v>
      </c>
      <c r="F60">
        <v>3750</v>
      </c>
      <c r="G60" t="s">
        <v>2</v>
      </c>
    </row>
    <row r="61" spans="1:7" hidden="1" x14ac:dyDescent="0.45">
      <c r="A61" t="s">
        <v>0</v>
      </c>
      <c r="B61" t="s">
        <v>4</v>
      </c>
      <c r="C61" s="1">
        <v>357</v>
      </c>
      <c r="D61" s="1">
        <v>169</v>
      </c>
      <c r="E61">
        <v>185</v>
      </c>
      <c r="F61">
        <v>3150</v>
      </c>
      <c r="G61" t="s">
        <v>3</v>
      </c>
    </row>
    <row r="62" spans="1:7" x14ac:dyDescent="0.45">
      <c r="A62" t="s">
        <v>0</v>
      </c>
      <c r="B62" t="s">
        <v>4</v>
      </c>
      <c r="C62" s="1">
        <v>413</v>
      </c>
      <c r="D62" s="1">
        <v>211</v>
      </c>
      <c r="E62">
        <v>195</v>
      </c>
      <c r="F62">
        <v>4400</v>
      </c>
      <c r="G62" t="s">
        <v>2</v>
      </c>
    </row>
    <row r="63" spans="1:7" hidden="1" x14ac:dyDescent="0.45">
      <c r="A63" t="s">
        <v>0</v>
      </c>
      <c r="B63" t="s">
        <v>4</v>
      </c>
      <c r="C63" s="1">
        <v>376</v>
      </c>
      <c r="D63" s="1">
        <v>170</v>
      </c>
      <c r="E63">
        <v>185</v>
      </c>
      <c r="F63">
        <v>3600</v>
      </c>
      <c r="G63" t="s">
        <v>3</v>
      </c>
    </row>
    <row r="64" spans="1:7" x14ac:dyDescent="0.45">
      <c r="A64" t="s">
        <v>0</v>
      </c>
      <c r="B64" t="s">
        <v>4</v>
      </c>
      <c r="C64" s="1">
        <v>411</v>
      </c>
      <c r="D64" s="1">
        <v>182</v>
      </c>
      <c r="E64">
        <v>192</v>
      </c>
      <c r="F64">
        <v>4050</v>
      </c>
      <c r="G64" t="s">
        <v>2</v>
      </c>
    </row>
    <row r="65" spans="1:7" hidden="1" x14ac:dyDescent="0.45">
      <c r="A65" t="s">
        <v>0</v>
      </c>
      <c r="B65" t="s">
        <v>4</v>
      </c>
      <c r="C65" s="1">
        <v>364</v>
      </c>
      <c r="D65" s="1">
        <v>171</v>
      </c>
      <c r="E65">
        <v>184</v>
      </c>
      <c r="F65">
        <v>2850</v>
      </c>
      <c r="G65" t="s">
        <v>3</v>
      </c>
    </row>
    <row r="66" spans="1:7" x14ac:dyDescent="0.45">
      <c r="A66" t="s">
        <v>0</v>
      </c>
      <c r="B66" t="s">
        <v>4</v>
      </c>
      <c r="C66" s="1">
        <v>416</v>
      </c>
      <c r="D66" s="1">
        <v>180</v>
      </c>
      <c r="E66">
        <v>192</v>
      </c>
      <c r="F66">
        <v>3950</v>
      </c>
      <c r="G66" t="s">
        <v>2</v>
      </c>
    </row>
    <row r="67" spans="1:7" hidden="1" x14ac:dyDescent="0.45">
      <c r="A67" t="s">
        <v>0</v>
      </c>
      <c r="B67" t="s">
        <v>4</v>
      </c>
      <c r="C67" s="1">
        <v>355</v>
      </c>
      <c r="D67" s="1">
        <v>162</v>
      </c>
      <c r="E67">
        <v>195</v>
      </c>
      <c r="F67">
        <v>3350</v>
      </c>
      <c r="G67" t="s">
        <v>3</v>
      </c>
    </row>
    <row r="68" spans="1:7" x14ac:dyDescent="0.45">
      <c r="A68" t="s">
        <v>0</v>
      </c>
      <c r="B68" t="s">
        <v>4</v>
      </c>
      <c r="C68" s="1">
        <v>411</v>
      </c>
      <c r="D68" s="1">
        <v>191</v>
      </c>
      <c r="E68">
        <v>188</v>
      </c>
      <c r="F68">
        <v>4100</v>
      </c>
      <c r="G68" t="s">
        <v>2</v>
      </c>
    </row>
    <row r="69" spans="1:7" hidden="1" x14ac:dyDescent="0.45">
      <c r="A69" t="s">
        <v>0</v>
      </c>
      <c r="B69" t="s">
        <v>1</v>
      </c>
      <c r="C69" s="1">
        <v>359</v>
      </c>
      <c r="D69" s="1">
        <v>166</v>
      </c>
      <c r="E69">
        <v>190</v>
      </c>
      <c r="F69">
        <v>3050</v>
      </c>
      <c r="G69" t="s">
        <v>3</v>
      </c>
    </row>
    <row r="70" spans="1:7" x14ac:dyDescent="0.45">
      <c r="A70" t="s">
        <v>0</v>
      </c>
      <c r="B70" t="s">
        <v>1</v>
      </c>
      <c r="C70" s="1">
        <v>418</v>
      </c>
      <c r="D70" s="1">
        <v>194</v>
      </c>
      <c r="E70">
        <v>198</v>
      </c>
      <c r="F70">
        <v>4450</v>
      </c>
      <c r="G70" t="s">
        <v>2</v>
      </c>
    </row>
    <row r="71" spans="1:7" hidden="1" x14ac:dyDescent="0.45">
      <c r="A71" t="s">
        <v>0</v>
      </c>
      <c r="B71" t="s">
        <v>1</v>
      </c>
      <c r="C71" s="1">
        <v>335</v>
      </c>
      <c r="D71" s="1">
        <v>190</v>
      </c>
      <c r="E71">
        <v>190</v>
      </c>
      <c r="F71">
        <v>3600</v>
      </c>
      <c r="G71" t="s">
        <v>3</v>
      </c>
    </row>
    <row r="72" spans="1:7" x14ac:dyDescent="0.45">
      <c r="A72" t="s">
        <v>0</v>
      </c>
      <c r="B72" t="s">
        <v>1</v>
      </c>
      <c r="C72" s="1">
        <v>397</v>
      </c>
      <c r="D72" s="1">
        <v>184</v>
      </c>
      <c r="E72">
        <v>190</v>
      </c>
      <c r="F72">
        <v>3900</v>
      </c>
      <c r="G72" t="s">
        <v>2</v>
      </c>
    </row>
    <row r="73" spans="1:7" hidden="1" x14ac:dyDescent="0.45">
      <c r="A73" t="s">
        <v>0</v>
      </c>
      <c r="B73" t="s">
        <v>1</v>
      </c>
      <c r="C73" s="1">
        <v>396</v>
      </c>
      <c r="D73" s="1">
        <v>172</v>
      </c>
      <c r="E73">
        <v>196</v>
      </c>
      <c r="F73">
        <v>3550</v>
      </c>
      <c r="G73" t="s">
        <v>3</v>
      </c>
    </row>
    <row r="74" spans="1:7" x14ac:dyDescent="0.45">
      <c r="A74" t="s">
        <v>0</v>
      </c>
      <c r="B74" t="s">
        <v>1</v>
      </c>
      <c r="C74" s="1">
        <v>458</v>
      </c>
      <c r="D74" s="1">
        <v>189</v>
      </c>
      <c r="E74">
        <v>197</v>
      </c>
      <c r="F74">
        <v>4150</v>
      </c>
      <c r="G74" t="s">
        <v>2</v>
      </c>
    </row>
    <row r="75" spans="1:7" hidden="1" x14ac:dyDescent="0.45">
      <c r="A75" t="s">
        <v>0</v>
      </c>
      <c r="B75" t="s">
        <v>1</v>
      </c>
      <c r="C75" s="1">
        <v>355</v>
      </c>
      <c r="D75" s="1">
        <v>175</v>
      </c>
      <c r="E75">
        <v>190</v>
      </c>
      <c r="F75">
        <v>3700</v>
      </c>
      <c r="G75" t="s">
        <v>3</v>
      </c>
    </row>
    <row r="76" spans="1:7" x14ac:dyDescent="0.45">
      <c r="A76" t="s">
        <v>0</v>
      </c>
      <c r="B76" t="s">
        <v>1</v>
      </c>
      <c r="C76" s="1">
        <v>428</v>
      </c>
      <c r="D76" s="1">
        <v>185</v>
      </c>
      <c r="E76">
        <v>195</v>
      </c>
      <c r="F76">
        <v>4250</v>
      </c>
      <c r="G76" t="s">
        <v>2</v>
      </c>
    </row>
    <row r="77" spans="1:7" hidden="1" x14ac:dyDescent="0.45">
      <c r="A77" t="s">
        <v>0</v>
      </c>
      <c r="B77" t="s">
        <v>1</v>
      </c>
      <c r="C77" s="1">
        <v>409</v>
      </c>
      <c r="D77" s="1">
        <v>168</v>
      </c>
      <c r="E77">
        <v>191</v>
      </c>
      <c r="F77">
        <v>3700</v>
      </c>
      <c r="G77" t="s">
        <v>3</v>
      </c>
    </row>
    <row r="78" spans="1:7" x14ac:dyDescent="0.45">
      <c r="A78" t="s">
        <v>0</v>
      </c>
      <c r="B78" t="s">
        <v>1</v>
      </c>
      <c r="C78" s="1">
        <v>372</v>
      </c>
      <c r="D78" s="1">
        <v>194</v>
      </c>
      <c r="E78">
        <v>184</v>
      </c>
      <c r="F78">
        <v>3900</v>
      </c>
      <c r="G78" t="s">
        <v>2</v>
      </c>
    </row>
    <row r="79" spans="1:7" hidden="1" x14ac:dyDescent="0.45">
      <c r="A79" t="s">
        <v>0</v>
      </c>
      <c r="B79" t="s">
        <v>1</v>
      </c>
      <c r="C79" s="1">
        <v>362</v>
      </c>
      <c r="D79" s="1">
        <v>161</v>
      </c>
      <c r="E79">
        <v>187</v>
      </c>
      <c r="F79">
        <v>3550</v>
      </c>
      <c r="G79" t="s">
        <v>3</v>
      </c>
    </row>
    <row r="80" spans="1:7" x14ac:dyDescent="0.45">
      <c r="A80" t="s">
        <v>0</v>
      </c>
      <c r="B80" t="s">
        <v>1</v>
      </c>
      <c r="C80" s="1">
        <v>421</v>
      </c>
      <c r="D80" s="1">
        <v>191</v>
      </c>
      <c r="E80">
        <v>195</v>
      </c>
      <c r="F80">
        <v>4000</v>
      </c>
      <c r="G80" t="s">
        <v>2</v>
      </c>
    </row>
    <row r="81" spans="1:7" hidden="1" x14ac:dyDescent="0.45">
      <c r="A81" t="s">
        <v>0</v>
      </c>
      <c r="B81" t="s">
        <v>1</v>
      </c>
      <c r="C81" s="1">
        <v>346</v>
      </c>
      <c r="D81" s="1">
        <v>172</v>
      </c>
      <c r="E81">
        <v>189</v>
      </c>
      <c r="F81">
        <v>3200</v>
      </c>
      <c r="G81" t="s">
        <v>3</v>
      </c>
    </row>
    <row r="82" spans="1:7" x14ac:dyDescent="0.45">
      <c r="A82" t="s">
        <v>0</v>
      </c>
      <c r="B82" t="s">
        <v>1</v>
      </c>
      <c r="C82" s="1">
        <v>429</v>
      </c>
      <c r="D82" s="1">
        <v>176</v>
      </c>
      <c r="E82">
        <v>196</v>
      </c>
      <c r="F82">
        <v>4700</v>
      </c>
      <c r="G82" t="s">
        <v>2</v>
      </c>
    </row>
    <row r="83" spans="1:7" hidden="1" x14ac:dyDescent="0.45">
      <c r="A83" t="s">
        <v>0</v>
      </c>
      <c r="B83" t="s">
        <v>1</v>
      </c>
      <c r="C83" s="1">
        <v>367</v>
      </c>
      <c r="D83" s="1">
        <v>188</v>
      </c>
      <c r="E83">
        <v>187</v>
      </c>
      <c r="F83">
        <v>3800</v>
      </c>
      <c r="G83" t="s">
        <v>3</v>
      </c>
    </row>
    <row r="84" spans="1:7" x14ac:dyDescent="0.45">
      <c r="A84" t="s">
        <v>0</v>
      </c>
      <c r="B84" t="s">
        <v>1</v>
      </c>
      <c r="C84" s="1">
        <v>351</v>
      </c>
      <c r="D84" s="1">
        <v>194</v>
      </c>
      <c r="E84">
        <v>193</v>
      </c>
      <c r="F84">
        <v>4200</v>
      </c>
      <c r="G84" t="s">
        <v>2</v>
      </c>
    </row>
    <row r="85" spans="1:7" hidden="1" x14ac:dyDescent="0.45">
      <c r="A85" t="s">
        <v>0</v>
      </c>
      <c r="B85" t="s">
        <v>5</v>
      </c>
      <c r="C85" s="1">
        <v>373</v>
      </c>
      <c r="D85" s="1">
        <v>178</v>
      </c>
      <c r="E85">
        <v>191</v>
      </c>
      <c r="F85">
        <v>3350</v>
      </c>
      <c r="G85" t="s">
        <v>3</v>
      </c>
    </row>
    <row r="86" spans="1:7" x14ac:dyDescent="0.45">
      <c r="A86" t="s">
        <v>0</v>
      </c>
      <c r="B86" t="s">
        <v>5</v>
      </c>
      <c r="C86" s="1">
        <v>413</v>
      </c>
      <c r="D86" s="1">
        <v>203</v>
      </c>
      <c r="E86">
        <v>194</v>
      </c>
      <c r="F86">
        <v>3550</v>
      </c>
      <c r="G86" t="s">
        <v>2</v>
      </c>
    </row>
    <row r="87" spans="1:7" x14ac:dyDescent="0.45">
      <c r="A87" t="s">
        <v>0</v>
      </c>
      <c r="B87" t="s">
        <v>5</v>
      </c>
      <c r="C87" s="1">
        <v>363</v>
      </c>
      <c r="D87" s="1">
        <v>195</v>
      </c>
      <c r="E87">
        <v>190</v>
      </c>
      <c r="F87">
        <v>3800</v>
      </c>
      <c r="G87" t="s">
        <v>2</v>
      </c>
    </row>
    <row r="88" spans="1:7" hidden="1" x14ac:dyDescent="0.45">
      <c r="A88" t="s">
        <v>0</v>
      </c>
      <c r="B88" t="s">
        <v>5</v>
      </c>
      <c r="C88" s="1">
        <v>369</v>
      </c>
      <c r="D88" s="1">
        <v>186</v>
      </c>
      <c r="E88">
        <v>189</v>
      </c>
      <c r="F88">
        <v>3500</v>
      </c>
      <c r="G88" t="s">
        <v>3</v>
      </c>
    </row>
    <row r="89" spans="1:7" x14ac:dyDescent="0.45">
      <c r="A89" t="s">
        <v>0</v>
      </c>
      <c r="B89" t="s">
        <v>5</v>
      </c>
      <c r="C89" s="1">
        <v>383</v>
      </c>
      <c r="D89" s="1">
        <v>192</v>
      </c>
      <c r="E89">
        <v>189</v>
      </c>
      <c r="F89">
        <v>3950</v>
      </c>
      <c r="G89" t="s">
        <v>2</v>
      </c>
    </row>
    <row r="90" spans="1:7" hidden="1" x14ac:dyDescent="0.45">
      <c r="A90" t="s">
        <v>0</v>
      </c>
      <c r="B90" t="s">
        <v>5</v>
      </c>
      <c r="C90" s="1">
        <v>389</v>
      </c>
      <c r="D90" s="1">
        <v>188</v>
      </c>
      <c r="E90">
        <v>190</v>
      </c>
      <c r="F90">
        <v>3600</v>
      </c>
      <c r="G90" t="s">
        <v>3</v>
      </c>
    </row>
    <row r="91" spans="1:7" hidden="1" x14ac:dyDescent="0.45">
      <c r="A91" t="s">
        <v>0</v>
      </c>
      <c r="B91" t="s">
        <v>5</v>
      </c>
      <c r="C91" s="1">
        <v>357</v>
      </c>
      <c r="D91" s="1">
        <v>180</v>
      </c>
      <c r="E91">
        <v>202</v>
      </c>
      <c r="F91">
        <v>3550</v>
      </c>
      <c r="G91" t="s">
        <v>3</v>
      </c>
    </row>
    <row r="92" spans="1:7" x14ac:dyDescent="0.45">
      <c r="A92" t="s">
        <v>0</v>
      </c>
      <c r="B92" t="s">
        <v>5</v>
      </c>
      <c r="C92" s="1">
        <v>411</v>
      </c>
      <c r="D92" s="1">
        <v>181</v>
      </c>
      <c r="E92">
        <v>205</v>
      </c>
      <c r="F92">
        <v>4300</v>
      </c>
      <c r="G92" t="s">
        <v>2</v>
      </c>
    </row>
    <row r="93" spans="1:7" hidden="1" x14ac:dyDescent="0.45">
      <c r="A93" t="s">
        <v>0</v>
      </c>
      <c r="B93" t="s">
        <v>5</v>
      </c>
      <c r="C93" s="1">
        <v>340</v>
      </c>
      <c r="D93" s="1">
        <v>171</v>
      </c>
      <c r="E93">
        <v>185</v>
      </c>
      <c r="F93">
        <v>3400</v>
      </c>
      <c r="G93" t="s">
        <v>3</v>
      </c>
    </row>
    <row r="94" spans="1:7" x14ac:dyDescent="0.45">
      <c r="A94" t="s">
        <v>0</v>
      </c>
      <c r="B94" t="s">
        <v>5</v>
      </c>
      <c r="C94" s="1">
        <v>396</v>
      </c>
      <c r="D94" s="1">
        <v>181</v>
      </c>
      <c r="E94">
        <v>186</v>
      </c>
      <c r="F94">
        <v>4450</v>
      </c>
      <c r="G94" t="s">
        <v>2</v>
      </c>
    </row>
    <row r="95" spans="1:7" hidden="1" x14ac:dyDescent="0.45">
      <c r="A95" t="s">
        <v>0</v>
      </c>
      <c r="B95" t="s">
        <v>5</v>
      </c>
      <c r="C95" s="1">
        <v>362</v>
      </c>
      <c r="D95" s="1">
        <v>173</v>
      </c>
      <c r="E95">
        <v>187</v>
      </c>
      <c r="F95">
        <v>3300</v>
      </c>
      <c r="G95" t="s">
        <v>3</v>
      </c>
    </row>
    <row r="96" spans="1:7" x14ac:dyDescent="0.45">
      <c r="A96" t="s">
        <v>0</v>
      </c>
      <c r="B96" t="s">
        <v>5</v>
      </c>
      <c r="C96" s="1">
        <v>408</v>
      </c>
      <c r="D96" s="1">
        <v>189</v>
      </c>
      <c r="E96">
        <v>208</v>
      </c>
      <c r="F96">
        <v>4300</v>
      </c>
      <c r="G96" t="s">
        <v>2</v>
      </c>
    </row>
    <row r="97" spans="1:7" hidden="1" x14ac:dyDescent="0.45">
      <c r="A97" t="s">
        <v>0</v>
      </c>
      <c r="B97" t="s">
        <v>5</v>
      </c>
      <c r="C97" s="1">
        <v>381</v>
      </c>
      <c r="D97" s="1">
        <v>186</v>
      </c>
      <c r="E97">
        <v>190</v>
      </c>
      <c r="F97">
        <v>3700</v>
      </c>
      <c r="G97" t="s">
        <v>3</v>
      </c>
    </row>
    <row r="98" spans="1:7" x14ac:dyDescent="0.45">
      <c r="A98" t="s">
        <v>0</v>
      </c>
      <c r="B98" t="s">
        <v>5</v>
      </c>
      <c r="C98" s="1">
        <v>403</v>
      </c>
      <c r="D98" s="1">
        <v>185</v>
      </c>
      <c r="E98">
        <v>196</v>
      </c>
      <c r="F98">
        <v>4350</v>
      </c>
      <c r="G98" t="s">
        <v>2</v>
      </c>
    </row>
    <row r="99" spans="1:7" hidden="1" x14ac:dyDescent="0.45">
      <c r="A99" t="s">
        <v>0</v>
      </c>
      <c r="B99" t="s">
        <v>5</v>
      </c>
      <c r="C99" s="1">
        <v>331</v>
      </c>
      <c r="D99" s="1">
        <v>161</v>
      </c>
      <c r="E99">
        <v>178</v>
      </c>
      <c r="F99">
        <v>2900</v>
      </c>
      <c r="G99" t="s">
        <v>3</v>
      </c>
    </row>
    <row r="100" spans="1:7" x14ac:dyDescent="0.45">
      <c r="A100" t="s">
        <v>0</v>
      </c>
      <c r="B100" t="s">
        <v>5</v>
      </c>
      <c r="C100" s="1">
        <v>432</v>
      </c>
      <c r="D100" s="1">
        <v>185</v>
      </c>
      <c r="E100">
        <v>192</v>
      </c>
      <c r="F100">
        <v>4100</v>
      </c>
      <c r="G100" t="s">
        <v>2</v>
      </c>
    </row>
    <row r="101" spans="1:7" hidden="1" x14ac:dyDescent="0.45">
      <c r="A101" t="s">
        <v>0</v>
      </c>
      <c r="B101" t="s">
        <v>4</v>
      </c>
      <c r="C101" s="1">
        <v>350</v>
      </c>
      <c r="D101" s="1">
        <v>179</v>
      </c>
      <c r="E101">
        <v>192</v>
      </c>
      <c r="F101">
        <v>3725</v>
      </c>
      <c r="G101" t="s">
        <v>3</v>
      </c>
    </row>
    <row r="102" spans="1:7" x14ac:dyDescent="0.45">
      <c r="A102" t="s">
        <v>0</v>
      </c>
      <c r="B102" t="s">
        <v>4</v>
      </c>
      <c r="C102" s="1">
        <v>410</v>
      </c>
      <c r="D102" s="1">
        <v>200</v>
      </c>
      <c r="E102">
        <v>203</v>
      </c>
      <c r="F102">
        <v>4725</v>
      </c>
      <c r="G102" t="s">
        <v>2</v>
      </c>
    </row>
    <row r="103" spans="1:7" hidden="1" x14ac:dyDescent="0.45">
      <c r="A103" t="s">
        <v>0</v>
      </c>
      <c r="B103" t="s">
        <v>4</v>
      </c>
      <c r="C103" s="1">
        <v>377</v>
      </c>
      <c r="D103" s="1">
        <v>160</v>
      </c>
      <c r="E103">
        <v>183</v>
      </c>
      <c r="F103">
        <v>3075</v>
      </c>
      <c r="G103" t="s">
        <v>3</v>
      </c>
    </row>
    <row r="104" spans="1:7" x14ac:dyDescent="0.45">
      <c r="A104" t="s">
        <v>0</v>
      </c>
      <c r="B104" t="s">
        <v>4</v>
      </c>
      <c r="C104" s="1">
        <v>378</v>
      </c>
      <c r="D104" s="1">
        <v>200</v>
      </c>
      <c r="E104">
        <v>190</v>
      </c>
      <c r="F104">
        <v>4250</v>
      </c>
      <c r="G104" t="s">
        <v>2</v>
      </c>
    </row>
    <row r="105" spans="1:7" hidden="1" x14ac:dyDescent="0.45">
      <c r="A105" t="s">
        <v>0</v>
      </c>
      <c r="B105" t="s">
        <v>4</v>
      </c>
      <c r="C105" s="1">
        <v>379</v>
      </c>
      <c r="D105" s="1">
        <v>186</v>
      </c>
      <c r="E105">
        <v>193</v>
      </c>
      <c r="F105">
        <v>2925</v>
      </c>
      <c r="G105" t="s">
        <v>3</v>
      </c>
    </row>
    <row r="106" spans="1:7" x14ac:dyDescent="0.45">
      <c r="A106" t="s">
        <v>0</v>
      </c>
      <c r="B106" t="s">
        <v>4</v>
      </c>
      <c r="C106" s="1">
        <v>397</v>
      </c>
      <c r="D106" s="1">
        <v>189</v>
      </c>
      <c r="E106">
        <v>184</v>
      </c>
      <c r="F106">
        <v>3550</v>
      </c>
      <c r="G106" t="s">
        <v>2</v>
      </c>
    </row>
    <row r="107" spans="1:7" hidden="1" x14ac:dyDescent="0.45">
      <c r="A107" t="s">
        <v>0</v>
      </c>
      <c r="B107" t="s">
        <v>4</v>
      </c>
      <c r="C107" s="1">
        <v>386</v>
      </c>
      <c r="D107" s="1">
        <v>172</v>
      </c>
      <c r="E107">
        <v>199</v>
      </c>
      <c r="F107">
        <v>3750</v>
      </c>
      <c r="G107" t="s">
        <v>3</v>
      </c>
    </row>
    <row r="108" spans="1:7" x14ac:dyDescent="0.45">
      <c r="A108" t="s">
        <v>0</v>
      </c>
      <c r="B108" t="s">
        <v>4</v>
      </c>
      <c r="C108" s="1">
        <v>382</v>
      </c>
      <c r="D108" s="1">
        <v>200</v>
      </c>
      <c r="E108">
        <v>190</v>
      </c>
      <c r="F108">
        <v>3900</v>
      </c>
      <c r="G108" t="s">
        <v>2</v>
      </c>
    </row>
    <row r="109" spans="1:7" hidden="1" x14ac:dyDescent="0.45">
      <c r="A109" t="s">
        <v>0</v>
      </c>
      <c r="B109" t="s">
        <v>4</v>
      </c>
      <c r="C109" s="1">
        <v>381</v>
      </c>
      <c r="D109" s="1">
        <v>170</v>
      </c>
      <c r="E109">
        <v>181</v>
      </c>
      <c r="F109">
        <v>3175</v>
      </c>
      <c r="G109" t="s">
        <v>3</v>
      </c>
    </row>
    <row r="110" spans="1:7" x14ac:dyDescent="0.45">
      <c r="A110" t="s">
        <v>0</v>
      </c>
      <c r="B110" t="s">
        <v>4</v>
      </c>
      <c r="C110" s="1">
        <v>432</v>
      </c>
      <c r="D110" s="1">
        <v>190</v>
      </c>
      <c r="E110">
        <v>197</v>
      </c>
      <c r="F110">
        <v>4775</v>
      </c>
      <c r="G110" t="s">
        <v>2</v>
      </c>
    </row>
    <row r="111" spans="1:7" hidden="1" x14ac:dyDescent="0.45">
      <c r="A111" t="s">
        <v>0</v>
      </c>
      <c r="B111" t="s">
        <v>4</v>
      </c>
      <c r="C111" s="1">
        <v>381</v>
      </c>
      <c r="D111" s="1">
        <v>165</v>
      </c>
      <c r="E111">
        <v>198</v>
      </c>
      <c r="F111">
        <v>3825</v>
      </c>
      <c r="G111" t="s">
        <v>3</v>
      </c>
    </row>
    <row r="112" spans="1:7" x14ac:dyDescent="0.45">
      <c r="A112" t="s">
        <v>0</v>
      </c>
      <c r="B112" t="s">
        <v>4</v>
      </c>
      <c r="C112" s="1">
        <v>456</v>
      </c>
      <c r="D112" s="1">
        <v>203</v>
      </c>
      <c r="E112">
        <v>191</v>
      </c>
      <c r="F112">
        <v>4600</v>
      </c>
      <c r="G112" t="s">
        <v>2</v>
      </c>
    </row>
    <row r="113" spans="1:7" hidden="1" x14ac:dyDescent="0.45">
      <c r="A113" t="s">
        <v>0</v>
      </c>
      <c r="B113" t="s">
        <v>4</v>
      </c>
      <c r="C113" s="1">
        <v>397</v>
      </c>
      <c r="D113" s="1">
        <v>177</v>
      </c>
      <c r="E113">
        <v>193</v>
      </c>
      <c r="F113">
        <v>3200</v>
      </c>
      <c r="G113" t="s">
        <v>3</v>
      </c>
    </row>
    <row r="114" spans="1:7" x14ac:dyDescent="0.45">
      <c r="A114" t="s">
        <v>0</v>
      </c>
      <c r="B114" t="s">
        <v>4</v>
      </c>
      <c r="C114" s="1">
        <v>422</v>
      </c>
      <c r="D114" s="1">
        <v>195</v>
      </c>
      <c r="E114">
        <v>197</v>
      </c>
      <c r="F114">
        <v>4275</v>
      </c>
      <c r="G114" t="s">
        <v>2</v>
      </c>
    </row>
    <row r="115" spans="1:7" hidden="1" x14ac:dyDescent="0.45">
      <c r="A115" t="s">
        <v>0</v>
      </c>
      <c r="B115" t="s">
        <v>4</v>
      </c>
      <c r="C115" s="1">
        <v>396</v>
      </c>
      <c r="D115" s="1">
        <v>207</v>
      </c>
      <c r="E115">
        <v>191</v>
      </c>
      <c r="F115">
        <v>3900</v>
      </c>
      <c r="G115" t="s">
        <v>3</v>
      </c>
    </row>
    <row r="116" spans="1:7" x14ac:dyDescent="0.45">
      <c r="A116" t="s">
        <v>0</v>
      </c>
      <c r="B116" t="s">
        <v>4</v>
      </c>
      <c r="C116" s="1">
        <v>427</v>
      </c>
      <c r="D116" s="1">
        <v>183</v>
      </c>
      <c r="E116">
        <v>196</v>
      </c>
      <c r="F116">
        <v>4075</v>
      </c>
      <c r="G116" t="s">
        <v>2</v>
      </c>
    </row>
    <row r="117" spans="1:7" hidden="1" x14ac:dyDescent="0.45">
      <c r="A117" t="s">
        <v>0</v>
      </c>
      <c r="B117" t="s">
        <v>1</v>
      </c>
      <c r="C117" s="1">
        <v>386</v>
      </c>
      <c r="D117" s="1">
        <v>170</v>
      </c>
      <c r="E117">
        <v>188</v>
      </c>
      <c r="F117">
        <v>2900</v>
      </c>
      <c r="G117" t="s">
        <v>3</v>
      </c>
    </row>
    <row r="118" spans="1:7" x14ac:dyDescent="0.45">
      <c r="A118" t="s">
        <v>0</v>
      </c>
      <c r="B118" t="s">
        <v>1</v>
      </c>
      <c r="C118" s="1">
        <v>373</v>
      </c>
      <c r="D118" s="1">
        <v>205</v>
      </c>
      <c r="E118">
        <v>199</v>
      </c>
      <c r="F118">
        <v>3775</v>
      </c>
      <c r="G118" t="s">
        <v>2</v>
      </c>
    </row>
    <row r="119" spans="1:7" hidden="1" x14ac:dyDescent="0.45">
      <c r="A119" t="s">
        <v>0</v>
      </c>
      <c r="B119" t="s">
        <v>1</v>
      </c>
      <c r="C119" s="1">
        <v>357</v>
      </c>
      <c r="D119" s="1">
        <v>170</v>
      </c>
      <c r="E119">
        <v>189</v>
      </c>
      <c r="F119">
        <v>3350</v>
      </c>
      <c r="G119" t="s">
        <v>3</v>
      </c>
    </row>
    <row r="120" spans="1:7" x14ac:dyDescent="0.45">
      <c r="A120" t="s">
        <v>0</v>
      </c>
      <c r="B120" t="s">
        <v>1</v>
      </c>
      <c r="C120" s="1">
        <v>411</v>
      </c>
      <c r="D120" s="1">
        <v>186</v>
      </c>
      <c r="E120">
        <v>189</v>
      </c>
      <c r="F120">
        <v>3325</v>
      </c>
      <c r="G120" t="s">
        <v>2</v>
      </c>
    </row>
    <row r="121" spans="1:7" hidden="1" x14ac:dyDescent="0.45">
      <c r="A121" t="s">
        <v>0</v>
      </c>
      <c r="B121" t="s">
        <v>1</v>
      </c>
      <c r="C121" s="1">
        <v>362</v>
      </c>
      <c r="D121" s="1">
        <v>172</v>
      </c>
      <c r="E121">
        <v>187</v>
      </c>
      <c r="F121">
        <v>3150</v>
      </c>
      <c r="G121" t="s">
        <v>3</v>
      </c>
    </row>
    <row r="122" spans="1:7" x14ac:dyDescent="0.45">
      <c r="A122" t="s">
        <v>0</v>
      </c>
      <c r="B122" t="s">
        <v>1</v>
      </c>
      <c r="C122" s="1">
        <v>377</v>
      </c>
      <c r="D122" s="1">
        <v>198</v>
      </c>
      <c r="E122">
        <v>198</v>
      </c>
      <c r="F122">
        <v>3500</v>
      </c>
      <c r="G122" t="s">
        <v>2</v>
      </c>
    </row>
    <row r="123" spans="1:7" hidden="1" x14ac:dyDescent="0.45">
      <c r="A123" t="s">
        <v>0</v>
      </c>
      <c r="B123" t="s">
        <v>1</v>
      </c>
      <c r="C123" s="1">
        <v>402</v>
      </c>
      <c r="D123" s="1">
        <v>170</v>
      </c>
      <c r="E123">
        <v>176</v>
      </c>
      <c r="F123">
        <v>3450</v>
      </c>
      <c r="G123" t="s">
        <v>3</v>
      </c>
    </row>
    <row r="124" spans="1:7" x14ac:dyDescent="0.45">
      <c r="A124" t="s">
        <v>0</v>
      </c>
      <c r="B124" t="s">
        <v>1</v>
      </c>
      <c r="C124" s="1">
        <v>414</v>
      </c>
      <c r="D124" s="1">
        <v>185</v>
      </c>
      <c r="E124">
        <v>202</v>
      </c>
      <c r="F124">
        <v>3875</v>
      </c>
      <c r="G124" t="s">
        <v>2</v>
      </c>
    </row>
    <row r="125" spans="1:7" hidden="1" x14ac:dyDescent="0.45">
      <c r="A125" t="s">
        <v>0</v>
      </c>
      <c r="B125" t="s">
        <v>1</v>
      </c>
      <c r="C125" s="1">
        <v>352</v>
      </c>
      <c r="D125" s="1">
        <v>159</v>
      </c>
      <c r="E125">
        <v>186</v>
      </c>
      <c r="F125">
        <v>3050</v>
      </c>
      <c r="G125" t="s">
        <v>3</v>
      </c>
    </row>
    <row r="126" spans="1:7" x14ac:dyDescent="0.45">
      <c r="A126" t="s">
        <v>0</v>
      </c>
      <c r="B126" t="s">
        <v>1</v>
      </c>
      <c r="C126" s="1">
        <v>406</v>
      </c>
      <c r="D126" s="1">
        <v>190</v>
      </c>
      <c r="E126">
        <v>199</v>
      </c>
      <c r="F126">
        <v>4000</v>
      </c>
      <c r="G126" t="s">
        <v>2</v>
      </c>
    </row>
    <row r="127" spans="1:7" hidden="1" x14ac:dyDescent="0.45">
      <c r="A127" t="s">
        <v>0</v>
      </c>
      <c r="B127" t="s">
        <v>1</v>
      </c>
      <c r="C127" s="1">
        <v>388</v>
      </c>
      <c r="D127" s="1">
        <v>176</v>
      </c>
      <c r="E127">
        <v>191</v>
      </c>
      <c r="F127">
        <v>3275</v>
      </c>
      <c r="G127" t="s">
        <v>3</v>
      </c>
    </row>
    <row r="128" spans="1:7" x14ac:dyDescent="0.45">
      <c r="A128" t="s">
        <v>0</v>
      </c>
      <c r="B128" t="s">
        <v>1</v>
      </c>
      <c r="C128" s="1">
        <v>415</v>
      </c>
      <c r="D128" s="1">
        <v>183</v>
      </c>
      <c r="E128">
        <v>195</v>
      </c>
      <c r="F128">
        <v>4300</v>
      </c>
      <c r="G128" t="s">
        <v>2</v>
      </c>
    </row>
    <row r="129" spans="1:7" hidden="1" x14ac:dyDescent="0.45">
      <c r="A129" t="s">
        <v>0</v>
      </c>
      <c r="B129" t="s">
        <v>1</v>
      </c>
      <c r="C129" s="1">
        <v>390</v>
      </c>
      <c r="D129" s="1">
        <v>171</v>
      </c>
      <c r="E129">
        <v>191</v>
      </c>
      <c r="F129">
        <v>3050</v>
      </c>
      <c r="G129" t="s">
        <v>3</v>
      </c>
    </row>
    <row r="130" spans="1:7" x14ac:dyDescent="0.45">
      <c r="A130" t="s">
        <v>0</v>
      </c>
      <c r="B130" t="s">
        <v>1</v>
      </c>
      <c r="C130" s="1">
        <v>441</v>
      </c>
      <c r="D130" s="1">
        <v>180</v>
      </c>
      <c r="E130">
        <v>210</v>
      </c>
      <c r="F130">
        <v>4000</v>
      </c>
      <c r="G130" t="s">
        <v>2</v>
      </c>
    </row>
    <row r="131" spans="1:7" hidden="1" x14ac:dyDescent="0.45">
      <c r="A131" t="s">
        <v>0</v>
      </c>
      <c r="B131" t="s">
        <v>1</v>
      </c>
      <c r="C131" s="1">
        <v>385</v>
      </c>
      <c r="D131" s="1">
        <v>179</v>
      </c>
      <c r="E131">
        <v>190</v>
      </c>
      <c r="F131">
        <v>3325</v>
      </c>
      <c r="G131" t="s">
        <v>3</v>
      </c>
    </row>
    <row r="132" spans="1:7" x14ac:dyDescent="0.45">
      <c r="A132" t="s">
        <v>0</v>
      </c>
      <c r="B132" t="s">
        <v>1</v>
      </c>
      <c r="C132" s="1">
        <v>431</v>
      </c>
      <c r="D132" s="1">
        <v>192</v>
      </c>
      <c r="E132">
        <v>197</v>
      </c>
      <c r="F132">
        <v>3500</v>
      </c>
      <c r="G132" t="s">
        <v>2</v>
      </c>
    </row>
    <row r="133" spans="1:7" hidden="1" x14ac:dyDescent="0.45">
      <c r="A133" t="s">
        <v>0</v>
      </c>
      <c r="B133" t="s">
        <v>5</v>
      </c>
      <c r="C133" s="1">
        <v>368</v>
      </c>
      <c r="D133" s="1">
        <v>185</v>
      </c>
      <c r="E133">
        <v>193</v>
      </c>
      <c r="F133">
        <v>3500</v>
      </c>
      <c r="G133" t="s">
        <v>3</v>
      </c>
    </row>
    <row r="134" spans="1:7" x14ac:dyDescent="0.45">
      <c r="A134" t="s">
        <v>0</v>
      </c>
      <c r="B134" t="s">
        <v>5</v>
      </c>
      <c r="C134" s="1">
        <v>375</v>
      </c>
      <c r="D134" s="1">
        <v>185</v>
      </c>
      <c r="E134">
        <v>199</v>
      </c>
      <c r="F134">
        <v>4475</v>
      </c>
      <c r="G134" t="s">
        <v>2</v>
      </c>
    </row>
    <row r="135" spans="1:7" hidden="1" x14ac:dyDescent="0.45">
      <c r="A135" t="s">
        <v>0</v>
      </c>
      <c r="B135" t="s">
        <v>5</v>
      </c>
      <c r="C135" s="1">
        <v>381</v>
      </c>
      <c r="D135" s="1">
        <v>176</v>
      </c>
      <c r="E135">
        <v>187</v>
      </c>
      <c r="F135">
        <v>3425</v>
      </c>
      <c r="G135" t="s">
        <v>3</v>
      </c>
    </row>
    <row r="136" spans="1:7" x14ac:dyDescent="0.45">
      <c r="A136" t="s">
        <v>0</v>
      </c>
      <c r="B136" t="s">
        <v>5</v>
      </c>
      <c r="C136" s="1">
        <v>411</v>
      </c>
      <c r="D136" s="1">
        <v>175</v>
      </c>
      <c r="E136">
        <v>190</v>
      </c>
      <c r="F136">
        <v>3900</v>
      </c>
      <c r="G136" t="s">
        <v>2</v>
      </c>
    </row>
    <row r="137" spans="1:7" hidden="1" x14ac:dyDescent="0.45">
      <c r="A137" t="s">
        <v>0</v>
      </c>
      <c r="B137" t="s">
        <v>5</v>
      </c>
      <c r="C137" s="1">
        <v>356</v>
      </c>
      <c r="D137" s="1">
        <v>175</v>
      </c>
      <c r="E137">
        <v>191</v>
      </c>
      <c r="F137">
        <v>3175</v>
      </c>
      <c r="G137" t="s">
        <v>3</v>
      </c>
    </row>
    <row r="138" spans="1:7" x14ac:dyDescent="0.45">
      <c r="A138" t="s">
        <v>0</v>
      </c>
      <c r="B138" t="s">
        <v>5</v>
      </c>
      <c r="C138" s="1">
        <v>402</v>
      </c>
      <c r="D138" s="1">
        <v>201</v>
      </c>
      <c r="E138">
        <v>200</v>
      </c>
      <c r="F138">
        <v>3975</v>
      </c>
      <c r="G138" t="s">
        <v>2</v>
      </c>
    </row>
    <row r="139" spans="1:7" hidden="1" x14ac:dyDescent="0.45">
      <c r="A139" t="s">
        <v>0</v>
      </c>
      <c r="B139" t="s">
        <v>5</v>
      </c>
      <c r="C139" s="1">
        <v>370</v>
      </c>
      <c r="D139" s="1">
        <v>165</v>
      </c>
      <c r="E139">
        <v>185</v>
      </c>
      <c r="F139">
        <v>3400</v>
      </c>
      <c r="G139" t="s">
        <v>3</v>
      </c>
    </row>
    <row r="140" spans="1:7" x14ac:dyDescent="0.45">
      <c r="A140" t="s">
        <v>0</v>
      </c>
      <c r="B140" t="s">
        <v>5</v>
      </c>
      <c r="C140" s="1">
        <v>397</v>
      </c>
      <c r="D140" s="1">
        <v>179</v>
      </c>
      <c r="E140">
        <v>193</v>
      </c>
      <c r="F140">
        <v>4250</v>
      </c>
      <c r="G140" t="s">
        <v>2</v>
      </c>
    </row>
    <row r="141" spans="1:7" hidden="1" x14ac:dyDescent="0.45">
      <c r="A141" t="s">
        <v>0</v>
      </c>
      <c r="B141" t="s">
        <v>5</v>
      </c>
      <c r="C141" s="1">
        <v>402</v>
      </c>
      <c r="D141" s="1">
        <v>171</v>
      </c>
      <c r="E141">
        <v>193</v>
      </c>
      <c r="F141">
        <v>3400</v>
      </c>
      <c r="G141" t="s">
        <v>3</v>
      </c>
    </row>
    <row r="142" spans="1:7" x14ac:dyDescent="0.45">
      <c r="A142" t="s">
        <v>0</v>
      </c>
      <c r="B142" t="s">
        <v>5</v>
      </c>
      <c r="C142" s="1">
        <v>406</v>
      </c>
      <c r="D142" s="1">
        <v>172</v>
      </c>
      <c r="E142">
        <v>187</v>
      </c>
      <c r="F142">
        <v>3475</v>
      </c>
      <c r="G142" t="s">
        <v>2</v>
      </c>
    </row>
    <row r="143" spans="1:7" hidden="1" x14ac:dyDescent="0.45">
      <c r="A143" t="s">
        <v>0</v>
      </c>
      <c r="B143" t="s">
        <v>5</v>
      </c>
      <c r="C143" s="1">
        <v>321</v>
      </c>
      <c r="D143" s="1">
        <v>155</v>
      </c>
      <c r="E143">
        <v>188</v>
      </c>
      <c r="F143">
        <v>3050</v>
      </c>
      <c r="G143" t="s">
        <v>3</v>
      </c>
    </row>
    <row r="144" spans="1:7" x14ac:dyDescent="0.45">
      <c r="A144" t="s">
        <v>0</v>
      </c>
      <c r="B144" t="s">
        <v>5</v>
      </c>
      <c r="C144" s="1">
        <v>407</v>
      </c>
      <c r="D144" s="1">
        <v>170</v>
      </c>
      <c r="E144">
        <v>190</v>
      </c>
      <c r="F144">
        <v>3725</v>
      </c>
      <c r="G144" t="s">
        <v>2</v>
      </c>
    </row>
    <row r="145" spans="1:7" hidden="1" x14ac:dyDescent="0.45">
      <c r="A145" t="s">
        <v>0</v>
      </c>
      <c r="B145" t="s">
        <v>5</v>
      </c>
      <c r="C145" s="1">
        <v>373</v>
      </c>
      <c r="D145" s="1">
        <v>168</v>
      </c>
      <c r="E145">
        <v>192</v>
      </c>
      <c r="F145">
        <v>3000</v>
      </c>
      <c r="G145" t="s">
        <v>3</v>
      </c>
    </row>
    <row r="146" spans="1:7" x14ac:dyDescent="0.45">
      <c r="A146" t="s">
        <v>0</v>
      </c>
      <c r="B146" t="s">
        <v>5</v>
      </c>
      <c r="C146" s="1">
        <v>390</v>
      </c>
      <c r="D146" s="1">
        <v>187</v>
      </c>
      <c r="E146">
        <v>185</v>
      </c>
      <c r="F146">
        <v>3650</v>
      </c>
      <c r="G146" t="s">
        <v>2</v>
      </c>
    </row>
    <row r="147" spans="1:7" x14ac:dyDescent="0.45">
      <c r="A147" t="s">
        <v>0</v>
      </c>
      <c r="B147" t="s">
        <v>5</v>
      </c>
      <c r="C147" s="1">
        <v>392</v>
      </c>
      <c r="D147" s="1">
        <v>186</v>
      </c>
      <c r="E147">
        <v>190</v>
      </c>
      <c r="F147">
        <v>4250</v>
      </c>
      <c r="G147" t="s">
        <v>2</v>
      </c>
    </row>
    <row r="148" spans="1:7" hidden="1" x14ac:dyDescent="0.45">
      <c r="A148" t="s">
        <v>0</v>
      </c>
      <c r="B148" t="s">
        <v>5</v>
      </c>
      <c r="C148" s="1">
        <v>366</v>
      </c>
      <c r="D148" s="1">
        <v>184</v>
      </c>
      <c r="E148">
        <v>184</v>
      </c>
      <c r="F148">
        <v>3475</v>
      </c>
      <c r="G148" t="s">
        <v>3</v>
      </c>
    </row>
    <row r="149" spans="1:7" hidden="1" x14ac:dyDescent="0.45">
      <c r="A149" t="s">
        <v>0</v>
      </c>
      <c r="B149" t="s">
        <v>5</v>
      </c>
      <c r="C149" s="1">
        <v>360</v>
      </c>
      <c r="D149" s="1">
        <v>178</v>
      </c>
      <c r="E149">
        <v>195</v>
      </c>
      <c r="F149">
        <v>3450</v>
      </c>
      <c r="G149" t="s">
        <v>3</v>
      </c>
    </row>
    <row r="150" spans="1:7" x14ac:dyDescent="0.45">
      <c r="A150" t="s">
        <v>0</v>
      </c>
      <c r="B150" t="s">
        <v>5</v>
      </c>
      <c r="C150" s="1">
        <v>378</v>
      </c>
      <c r="D150" s="1">
        <v>181</v>
      </c>
      <c r="E150">
        <v>193</v>
      </c>
      <c r="F150">
        <v>3750</v>
      </c>
      <c r="G150" t="s">
        <v>2</v>
      </c>
    </row>
    <row r="151" spans="1:7" hidden="1" x14ac:dyDescent="0.45">
      <c r="A151" t="s">
        <v>0</v>
      </c>
      <c r="B151" t="s">
        <v>5</v>
      </c>
      <c r="C151" s="1">
        <v>360</v>
      </c>
      <c r="D151" s="1">
        <v>171</v>
      </c>
      <c r="E151">
        <v>187</v>
      </c>
      <c r="F151">
        <v>3700</v>
      </c>
      <c r="G151" t="s">
        <v>3</v>
      </c>
    </row>
    <row r="152" spans="1:7" x14ac:dyDescent="0.45">
      <c r="A152" t="s">
        <v>0</v>
      </c>
      <c r="B152" t="s">
        <v>5</v>
      </c>
      <c r="C152" s="1">
        <v>415</v>
      </c>
      <c r="D152" s="1">
        <v>185</v>
      </c>
      <c r="E152">
        <v>201</v>
      </c>
      <c r="F152">
        <v>4000</v>
      </c>
      <c r="G152" t="s">
        <v>2</v>
      </c>
    </row>
    <row r="153" spans="1:7" hidden="1" x14ac:dyDescent="0.45">
      <c r="A153" t="s">
        <v>6</v>
      </c>
      <c r="B153" t="s">
        <v>5</v>
      </c>
      <c r="C153" s="1">
        <v>465</v>
      </c>
      <c r="D153" s="1">
        <v>179</v>
      </c>
      <c r="E153">
        <v>192</v>
      </c>
      <c r="F153">
        <v>3500</v>
      </c>
      <c r="G153" t="s">
        <v>3</v>
      </c>
    </row>
    <row r="154" spans="1:7" x14ac:dyDescent="0.45">
      <c r="A154" t="s">
        <v>6</v>
      </c>
      <c r="B154" t="s">
        <v>5</v>
      </c>
      <c r="C154" s="1">
        <v>500</v>
      </c>
      <c r="D154" s="1">
        <v>195</v>
      </c>
      <c r="E154">
        <v>196</v>
      </c>
      <c r="F154">
        <v>3900</v>
      </c>
      <c r="G154" t="s">
        <v>2</v>
      </c>
    </row>
    <row r="155" spans="1:7" x14ac:dyDescent="0.45">
      <c r="A155" t="s">
        <v>6</v>
      </c>
      <c r="B155" t="s">
        <v>5</v>
      </c>
      <c r="C155" s="1">
        <v>513</v>
      </c>
      <c r="D155" s="1">
        <v>192</v>
      </c>
      <c r="E155">
        <v>193</v>
      </c>
      <c r="F155">
        <v>3650</v>
      </c>
      <c r="G155" t="s">
        <v>2</v>
      </c>
    </row>
    <row r="156" spans="1:7" hidden="1" x14ac:dyDescent="0.45">
      <c r="A156" t="s">
        <v>6</v>
      </c>
      <c r="B156" t="s">
        <v>5</v>
      </c>
      <c r="C156" s="1">
        <v>454</v>
      </c>
      <c r="D156" s="1">
        <v>187</v>
      </c>
      <c r="E156">
        <v>188</v>
      </c>
      <c r="F156">
        <v>3525</v>
      </c>
      <c r="G156" t="s">
        <v>3</v>
      </c>
    </row>
    <row r="157" spans="1:7" x14ac:dyDescent="0.45">
      <c r="A157" t="s">
        <v>6</v>
      </c>
      <c r="B157" t="s">
        <v>5</v>
      </c>
      <c r="C157" s="1">
        <v>527</v>
      </c>
      <c r="D157" s="1">
        <v>198</v>
      </c>
      <c r="E157">
        <v>197</v>
      </c>
      <c r="F157">
        <v>3725</v>
      </c>
      <c r="G157" t="s">
        <v>2</v>
      </c>
    </row>
    <row r="158" spans="1:7" hidden="1" x14ac:dyDescent="0.45">
      <c r="A158" t="s">
        <v>6</v>
      </c>
      <c r="B158" t="s">
        <v>5</v>
      </c>
      <c r="C158" s="1">
        <v>452</v>
      </c>
      <c r="D158" s="1">
        <v>178</v>
      </c>
      <c r="E158">
        <v>198</v>
      </c>
      <c r="F158">
        <v>3950</v>
      </c>
      <c r="G158" t="s">
        <v>3</v>
      </c>
    </row>
    <row r="159" spans="1:7" hidden="1" x14ac:dyDescent="0.45">
      <c r="A159" t="s">
        <v>6</v>
      </c>
      <c r="B159" t="s">
        <v>5</v>
      </c>
      <c r="C159" s="1">
        <v>461</v>
      </c>
      <c r="D159" s="1">
        <v>182</v>
      </c>
      <c r="E159">
        <v>178</v>
      </c>
      <c r="F159">
        <v>3250</v>
      </c>
      <c r="G159" t="s">
        <v>3</v>
      </c>
    </row>
    <row r="160" spans="1:7" x14ac:dyDescent="0.45">
      <c r="A160" t="s">
        <v>6</v>
      </c>
      <c r="B160" t="s">
        <v>5</v>
      </c>
      <c r="C160" s="1">
        <v>513</v>
      </c>
      <c r="D160" s="1">
        <v>182</v>
      </c>
      <c r="E160">
        <v>197</v>
      </c>
      <c r="F160">
        <v>3750</v>
      </c>
      <c r="G160" t="s">
        <v>2</v>
      </c>
    </row>
    <row r="161" spans="1:7" hidden="1" x14ac:dyDescent="0.45">
      <c r="A161" t="s">
        <v>6</v>
      </c>
      <c r="B161" t="s">
        <v>5</v>
      </c>
      <c r="C161" s="1">
        <v>460</v>
      </c>
      <c r="D161" s="1">
        <v>189</v>
      </c>
      <c r="E161">
        <v>195</v>
      </c>
      <c r="F161">
        <v>4150</v>
      </c>
      <c r="G161" t="s">
        <v>3</v>
      </c>
    </row>
    <row r="162" spans="1:7" x14ac:dyDescent="0.45">
      <c r="A162" t="s">
        <v>6</v>
      </c>
      <c r="B162" t="s">
        <v>5</v>
      </c>
      <c r="C162" s="1">
        <v>513</v>
      </c>
      <c r="D162" s="1">
        <v>199</v>
      </c>
      <c r="E162">
        <v>198</v>
      </c>
      <c r="F162">
        <v>3700</v>
      </c>
      <c r="G162" t="s">
        <v>2</v>
      </c>
    </row>
    <row r="163" spans="1:7" hidden="1" x14ac:dyDescent="0.45">
      <c r="A163" t="s">
        <v>6</v>
      </c>
      <c r="B163" t="s">
        <v>5</v>
      </c>
      <c r="C163" s="1">
        <v>466</v>
      </c>
      <c r="D163" s="1">
        <v>178</v>
      </c>
      <c r="E163">
        <v>193</v>
      </c>
      <c r="F163">
        <v>3800</v>
      </c>
      <c r="G163" t="s">
        <v>3</v>
      </c>
    </row>
    <row r="164" spans="1:7" x14ac:dyDescent="0.45">
      <c r="A164" t="s">
        <v>6</v>
      </c>
      <c r="B164" t="s">
        <v>5</v>
      </c>
      <c r="C164" s="1">
        <v>517</v>
      </c>
      <c r="D164" s="1">
        <v>203</v>
      </c>
      <c r="E164">
        <v>194</v>
      </c>
      <c r="F164">
        <v>3775</v>
      </c>
      <c r="G164" t="s">
        <v>2</v>
      </c>
    </row>
    <row r="165" spans="1:7" hidden="1" x14ac:dyDescent="0.45">
      <c r="A165" t="s">
        <v>6</v>
      </c>
      <c r="B165" t="s">
        <v>5</v>
      </c>
      <c r="C165" s="1">
        <v>470</v>
      </c>
      <c r="D165" s="1">
        <v>173</v>
      </c>
      <c r="E165">
        <v>185</v>
      </c>
      <c r="F165">
        <v>3700</v>
      </c>
      <c r="G165" t="s">
        <v>3</v>
      </c>
    </row>
    <row r="166" spans="1:7" x14ac:dyDescent="0.45">
      <c r="A166" t="s">
        <v>6</v>
      </c>
      <c r="B166" t="s">
        <v>5</v>
      </c>
      <c r="C166" s="1">
        <v>520</v>
      </c>
      <c r="D166" s="1">
        <v>181</v>
      </c>
      <c r="E166">
        <v>201</v>
      </c>
      <c r="F166">
        <v>4050</v>
      </c>
      <c r="G166" t="s">
        <v>2</v>
      </c>
    </row>
    <row r="167" spans="1:7" hidden="1" x14ac:dyDescent="0.45">
      <c r="A167" t="s">
        <v>6</v>
      </c>
      <c r="B167" t="s">
        <v>5</v>
      </c>
      <c r="C167" s="1">
        <v>459</v>
      </c>
      <c r="D167" s="1">
        <v>171</v>
      </c>
      <c r="E167">
        <v>190</v>
      </c>
      <c r="F167">
        <v>3575</v>
      </c>
      <c r="G167" t="s">
        <v>3</v>
      </c>
    </row>
    <row r="168" spans="1:7" x14ac:dyDescent="0.45">
      <c r="A168" t="s">
        <v>6</v>
      </c>
      <c r="B168" t="s">
        <v>5</v>
      </c>
      <c r="C168" s="1">
        <v>505</v>
      </c>
      <c r="D168" s="1">
        <v>196</v>
      </c>
      <c r="E168">
        <v>201</v>
      </c>
      <c r="F168">
        <v>4050</v>
      </c>
      <c r="G168" t="s">
        <v>2</v>
      </c>
    </row>
    <row r="169" spans="1:7" x14ac:dyDescent="0.45">
      <c r="A169" t="s">
        <v>6</v>
      </c>
      <c r="B169" t="s">
        <v>5</v>
      </c>
      <c r="C169" s="1">
        <v>503</v>
      </c>
      <c r="D169" s="1">
        <v>200</v>
      </c>
      <c r="E169">
        <v>197</v>
      </c>
      <c r="F169">
        <v>3300</v>
      </c>
      <c r="G169" t="s">
        <v>2</v>
      </c>
    </row>
    <row r="170" spans="1:7" hidden="1" x14ac:dyDescent="0.45">
      <c r="A170" t="s">
        <v>6</v>
      </c>
      <c r="B170" t="s">
        <v>5</v>
      </c>
      <c r="C170" s="1">
        <v>580</v>
      </c>
      <c r="D170" s="1">
        <v>178</v>
      </c>
      <c r="E170">
        <v>181</v>
      </c>
      <c r="F170">
        <v>3700</v>
      </c>
      <c r="G170" t="s">
        <v>3</v>
      </c>
    </row>
    <row r="171" spans="1:7" hidden="1" x14ac:dyDescent="0.45">
      <c r="A171" t="s">
        <v>6</v>
      </c>
      <c r="B171" t="s">
        <v>5</v>
      </c>
      <c r="C171" s="1">
        <v>464</v>
      </c>
      <c r="D171" s="1">
        <v>186</v>
      </c>
      <c r="E171">
        <v>190</v>
      </c>
      <c r="F171">
        <v>3450</v>
      </c>
      <c r="G171" t="s">
        <v>3</v>
      </c>
    </row>
    <row r="172" spans="1:7" x14ac:dyDescent="0.45">
      <c r="A172" t="s">
        <v>6</v>
      </c>
      <c r="B172" t="s">
        <v>5</v>
      </c>
      <c r="C172" s="1">
        <v>492</v>
      </c>
      <c r="D172" s="1">
        <v>182</v>
      </c>
      <c r="E172">
        <v>195</v>
      </c>
      <c r="F172">
        <v>4400</v>
      </c>
      <c r="G172" t="s">
        <v>2</v>
      </c>
    </row>
    <row r="173" spans="1:7" hidden="1" x14ac:dyDescent="0.45">
      <c r="A173" t="s">
        <v>6</v>
      </c>
      <c r="B173" t="s">
        <v>5</v>
      </c>
      <c r="C173" s="1">
        <v>424</v>
      </c>
      <c r="D173" s="1">
        <v>173</v>
      </c>
      <c r="E173">
        <v>181</v>
      </c>
      <c r="F173">
        <v>3600</v>
      </c>
      <c r="G173" t="s">
        <v>3</v>
      </c>
    </row>
    <row r="174" spans="1:7" x14ac:dyDescent="0.45">
      <c r="A174" t="s">
        <v>6</v>
      </c>
      <c r="B174" t="s">
        <v>5</v>
      </c>
      <c r="C174" s="1">
        <v>485</v>
      </c>
      <c r="D174" s="1">
        <v>175</v>
      </c>
      <c r="E174">
        <v>191</v>
      </c>
      <c r="F174">
        <v>3400</v>
      </c>
      <c r="G174" t="s">
        <v>2</v>
      </c>
    </row>
    <row r="175" spans="1:7" hidden="1" x14ac:dyDescent="0.45">
      <c r="A175" t="s">
        <v>6</v>
      </c>
      <c r="B175" t="s">
        <v>5</v>
      </c>
      <c r="C175" s="1">
        <v>432</v>
      </c>
      <c r="D175" s="1">
        <v>166</v>
      </c>
      <c r="E175">
        <v>187</v>
      </c>
      <c r="F175">
        <v>2900</v>
      </c>
      <c r="G175" t="s">
        <v>3</v>
      </c>
    </row>
    <row r="176" spans="1:7" x14ac:dyDescent="0.45">
      <c r="A176" t="s">
        <v>6</v>
      </c>
      <c r="B176" t="s">
        <v>5</v>
      </c>
      <c r="C176" s="1">
        <v>506</v>
      </c>
      <c r="D176" s="1">
        <v>194</v>
      </c>
      <c r="E176">
        <v>193</v>
      </c>
      <c r="F176">
        <v>3800</v>
      </c>
      <c r="G176" t="s">
        <v>2</v>
      </c>
    </row>
    <row r="177" spans="1:7" hidden="1" x14ac:dyDescent="0.45">
      <c r="A177" t="s">
        <v>6</v>
      </c>
      <c r="B177" t="s">
        <v>5</v>
      </c>
      <c r="C177" s="1">
        <v>467</v>
      </c>
      <c r="D177" s="1">
        <v>179</v>
      </c>
      <c r="E177">
        <v>195</v>
      </c>
      <c r="F177">
        <v>3300</v>
      </c>
      <c r="G177" t="s">
        <v>3</v>
      </c>
    </row>
    <row r="178" spans="1:7" x14ac:dyDescent="0.45">
      <c r="A178" t="s">
        <v>6</v>
      </c>
      <c r="B178" t="s">
        <v>5</v>
      </c>
      <c r="C178" s="1">
        <v>520</v>
      </c>
      <c r="D178" s="1">
        <v>190</v>
      </c>
      <c r="E178">
        <v>197</v>
      </c>
      <c r="F178">
        <v>4150</v>
      </c>
      <c r="G178" t="s">
        <v>2</v>
      </c>
    </row>
    <row r="179" spans="1:7" hidden="1" x14ac:dyDescent="0.45">
      <c r="A179" t="s">
        <v>6</v>
      </c>
      <c r="B179" t="s">
        <v>5</v>
      </c>
      <c r="C179" s="1">
        <v>505</v>
      </c>
      <c r="D179" s="1">
        <v>184</v>
      </c>
      <c r="E179">
        <v>200</v>
      </c>
      <c r="F179">
        <v>3400</v>
      </c>
      <c r="G179" t="s">
        <v>3</v>
      </c>
    </row>
    <row r="180" spans="1:7" x14ac:dyDescent="0.45">
      <c r="A180" t="s">
        <v>6</v>
      </c>
      <c r="B180" t="s">
        <v>5</v>
      </c>
      <c r="C180" s="1">
        <v>495</v>
      </c>
      <c r="D180" s="1">
        <v>190</v>
      </c>
      <c r="E180">
        <v>200</v>
      </c>
      <c r="F180">
        <v>3800</v>
      </c>
      <c r="G180" t="s">
        <v>2</v>
      </c>
    </row>
    <row r="181" spans="1:7" hidden="1" x14ac:dyDescent="0.45">
      <c r="A181" t="s">
        <v>6</v>
      </c>
      <c r="B181" t="s">
        <v>5</v>
      </c>
      <c r="C181" s="1">
        <v>464</v>
      </c>
      <c r="D181" s="1">
        <v>178</v>
      </c>
      <c r="E181">
        <v>191</v>
      </c>
      <c r="F181">
        <v>3700</v>
      </c>
      <c r="G181" t="s">
        <v>3</v>
      </c>
    </row>
    <row r="182" spans="1:7" x14ac:dyDescent="0.45">
      <c r="A182" t="s">
        <v>6</v>
      </c>
      <c r="B182" t="s">
        <v>5</v>
      </c>
      <c r="C182" s="1">
        <v>528</v>
      </c>
      <c r="D182" s="1">
        <v>200</v>
      </c>
      <c r="E182">
        <v>205</v>
      </c>
      <c r="F182">
        <v>4550</v>
      </c>
      <c r="G182" t="s">
        <v>2</v>
      </c>
    </row>
    <row r="183" spans="1:7" hidden="1" x14ac:dyDescent="0.45">
      <c r="A183" t="s">
        <v>6</v>
      </c>
      <c r="B183" t="s">
        <v>5</v>
      </c>
      <c r="C183" s="1">
        <v>409</v>
      </c>
      <c r="D183" s="1">
        <v>166</v>
      </c>
      <c r="E183">
        <v>187</v>
      </c>
      <c r="F183">
        <v>3200</v>
      </c>
      <c r="G183" t="s">
        <v>3</v>
      </c>
    </row>
    <row r="184" spans="1:7" x14ac:dyDescent="0.45">
      <c r="A184" t="s">
        <v>6</v>
      </c>
      <c r="B184" t="s">
        <v>5</v>
      </c>
      <c r="C184" s="1">
        <v>542</v>
      </c>
      <c r="D184" s="1">
        <v>208</v>
      </c>
      <c r="E184">
        <v>201</v>
      </c>
      <c r="F184">
        <v>4300</v>
      </c>
      <c r="G184" t="s">
        <v>2</v>
      </c>
    </row>
    <row r="185" spans="1:7" hidden="1" x14ac:dyDescent="0.45">
      <c r="A185" t="s">
        <v>6</v>
      </c>
      <c r="B185" t="s">
        <v>5</v>
      </c>
      <c r="C185" s="1">
        <v>425</v>
      </c>
      <c r="D185" s="1">
        <v>167</v>
      </c>
      <c r="E185">
        <v>187</v>
      </c>
      <c r="F185">
        <v>3350</v>
      </c>
      <c r="G185" t="s">
        <v>3</v>
      </c>
    </row>
    <row r="186" spans="1:7" x14ac:dyDescent="0.45">
      <c r="A186" t="s">
        <v>6</v>
      </c>
      <c r="B186" t="s">
        <v>5</v>
      </c>
      <c r="C186" s="1">
        <v>510</v>
      </c>
      <c r="D186" s="1">
        <v>188</v>
      </c>
      <c r="E186">
        <v>203</v>
      </c>
      <c r="F186">
        <v>4100</v>
      </c>
      <c r="G186" t="s">
        <v>2</v>
      </c>
    </row>
    <row r="187" spans="1:7" x14ac:dyDescent="0.45">
      <c r="A187" t="s">
        <v>6</v>
      </c>
      <c r="B187" t="s">
        <v>5</v>
      </c>
      <c r="C187" s="1">
        <v>497</v>
      </c>
      <c r="D187" s="1">
        <v>186</v>
      </c>
      <c r="E187">
        <v>195</v>
      </c>
      <c r="F187">
        <v>3600</v>
      </c>
      <c r="G187" t="s">
        <v>2</v>
      </c>
    </row>
    <row r="188" spans="1:7" hidden="1" x14ac:dyDescent="0.45">
      <c r="A188" t="s">
        <v>6</v>
      </c>
      <c r="B188" t="s">
        <v>5</v>
      </c>
      <c r="C188" s="1">
        <v>475</v>
      </c>
      <c r="D188" s="1">
        <v>168</v>
      </c>
      <c r="E188">
        <v>199</v>
      </c>
      <c r="F188">
        <v>3900</v>
      </c>
      <c r="G188" t="s">
        <v>3</v>
      </c>
    </row>
    <row r="189" spans="1:7" hidden="1" x14ac:dyDescent="0.45">
      <c r="A189" t="s">
        <v>6</v>
      </c>
      <c r="B189" t="s">
        <v>5</v>
      </c>
      <c r="C189" s="1">
        <v>476</v>
      </c>
      <c r="D189" s="1">
        <v>183</v>
      </c>
      <c r="E189">
        <v>195</v>
      </c>
      <c r="F189">
        <v>3850</v>
      </c>
      <c r="G189" t="s">
        <v>3</v>
      </c>
    </row>
    <row r="190" spans="1:7" x14ac:dyDescent="0.45">
      <c r="A190" t="s">
        <v>6</v>
      </c>
      <c r="B190" t="s">
        <v>5</v>
      </c>
      <c r="C190" s="1">
        <v>520</v>
      </c>
      <c r="D190" s="1">
        <v>207</v>
      </c>
      <c r="E190">
        <v>210</v>
      </c>
      <c r="F190">
        <v>4800</v>
      </c>
      <c r="G190" t="s">
        <v>2</v>
      </c>
    </row>
    <row r="191" spans="1:7" hidden="1" x14ac:dyDescent="0.45">
      <c r="A191" t="s">
        <v>6</v>
      </c>
      <c r="B191" t="s">
        <v>5</v>
      </c>
      <c r="C191" s="1">
        <v>469</v>
      </c>
      <c r="D191" s="1">
        <v>166</v>
      </c>
      <c r="E191">
        <v>192</v>
      </c>
      <c r="F191">
        <v>2700</v>
      </c>
      <c r="G191" t="s">
        <v>3</v>
      </c>
    </row>
    <row r="192" spans="1:7" x14ac:dyDescent="0.45">
      <c r="A192" t="s">
        <v>6</v>
      </c>
      <c r="B192" t="s">
        <v>5</v>
      </c>
      <c r="C192" s="1">
        <v>535</v>
      </c>
      <c r="D192" s="1">
        <v>199</v>
      </c>
      <c r="E192">
        <v>205</v>
      </c>
      <c r="F192">
        <v>4500</v>
      </c>
      <c r="G192" t="s">
        <v>2</v>
      </c>
    </row>
    <row r="193" spans="1:7" x14ac:dyDescent="0.45">
      <c r="A193" t="s">
        <v>6</v>
      </c>
      <c r="B193" t="s">
        <v>5</v>
      </c>
      <c r="C193" s="1">
        <v>490</v>
      </c>
      <c r="D193" s="1">
        <v>195</v>
      </c>
      <c r="E193">
        <v>210</v>
      </c>
      <c r="F193">
        <v>3950</v>
      </c>
      <c r="G193" t="s">
        <v>2</v>
      </c>
    </row>
    <row r="194" spans="1:7" hidden="1" x14ac:dyDescent="0.45">
      <c r="A194" t="s">
        <v>6</v>
      </c>
      <c r="B194" t="s">
        <v>5</v>
      </c>
      <c r="C194" s="1">
        <v>462</v>
      </c>
      <c r="D194" s="1">
        <v>175</v>
      </c>
      <c r="E194">
        <v>187</v>
      </c>
      <c r="F194">
        <v>3650</v>
      </c>
      <c r="G194" t="s">
        <v>3</v>
      </c>
    </row>
    <row r="195" spans="1:7" x14ac:dyDescent="0.45">
      <c r="A195" t="s">
        <v>6</v>
      </c>
      <c r="B195" t="s">
        <v>5</v>
      </c>
      <c r="C195" s="1">
        <v>509</v>
      </c>
      <c r="D195" s="1">
        <v>191</v>
      </c>
      <c r="E195">
        <v>196</v>
      </c>
      <c r="F195">
        <v>3550</v>
      </c>
      <c r="G195" t="s">
        <v>2</v>
      </c>
    </row>
    <row r="196" spans="1:7" hidden="1" x14ac:dyDescent="0.45">
      <c r="A196" t="s">
        <v>6</v>
      </c>
      <c r="B196" t="s">
        <v>5</v>
      </c>
      <c r="C196" s="1">
        <v>455</v>
      </c>
      <c r="D196" s="1">
        <v>170</v>
      </c>
      <c r="E196">
        <v>196</v>
      </c>
      <c r="F196">
        <v>3500</v>
      </c>
      <c r="G196" t="s">
        <v>3</v>
      </c>
    </row>
    <row r="197" spans="1:7" hidden="1" x14ac:dyDescent="0.45">
      <c r="A197" t="s">
        <v>6</v>
      </c>
      <c r="B197" t="s">
        <v>5</v>
      </c>
      <c r="C197" s="1">
        <v>509</v>
      </c>
      <c r="D197" s="1">
        <v>179</v>
      </c>
      <c r="E197">
        <v>196</v>
      </c>
      <c r="F197">
        <v>3675</v>
      </c>
      <c r="G197" t="s">
        <v>3</v>
      </c>
    </row>
    <row r="198" spans="1:7" x14ac:dyDescent="0.45">
      <c r="A198" t="s">
        <v>6</v>
      </c>
      <c r="B198" t="s">
        <v>5</v>
      </c>
      <c r="C198" s="1">
        <v>508</v>
      </c>
      <c r="D198" s="1">
        <v>185</v>
      </c>
      <c r="E198">
        <v>201</v>
      </c>
      <c r="F198">
        <v>4450</v>
      </c>
      <c r="G198" t="s">
        <v>2</v>
      </c>
    </row>
    <row r="199" spans="1:7" hidden="1" x14ac:dyDescent="0.45">
      <c r="A199" t="s">
        <v>6</v>
      </c>
      <c r="B199" t="s">
        <v>5</v>
      </c>
      <c r="C199" s="1">
        <v>501</v>
      </c>
      <c r="D199" s="1">
        <v>179</v>
      </c>
      <c r="E199">
        <v>190</v>
      </c>
      <c r="F199">
        <v>3400</v>
      </c>
      <c r="G199" t="s">
        <v>3</v>
      </c>
    </row>
    <row r="200" spans="1:7" x14ac:dyDescent="0.45">
      <c r="A200" t="s">
        <v>6</v>
      </c>
      <c r="B200" t="s">
        <v>5</v>
      </c>
      <c r="C200" s="1">
        <v>490</v>
      </c>
      <c r="D200" s="1">
        <v>196</v>
      </c>
      <c r="E200">
        <v>212</v>
      </c>
      <c r="F200">
        <v>4300</v>
      </c>
      <c r="G200" t="s">
        <v>2</v>
      </c>
    </row>
    <row r="201" spans="1:7" x14ac:dyDescent="0.45">
      <c r="A201" t="s">
        <v>6</v>
      </c>
      <c r="B201" t="s">
        <v>5</v>
      </c>
      <c r="C201" s="1">
        <v>515</v>
      </c>
      <c r="D201" s="1">
        <v>187</v>
      </c>
      <c r="E201">
        <v>187</v>
      </c>
      <c r="F201">
        <v>3250</v>
      </c>
      <c r="G201" t="s">
        <v>2</v>
      </c>
    </row>
    <row r="202" spans="1:7" hidden="1" x14ac:dyDescent="0.45">
      <c r="A202" t="s">
        <v>6</v>
      </c>
      <c r="B202" t="s">
        <v>5</v>
      </c>
      <c r="C202" s="1">
        <v>498</v>
      </c>
      <c r="D202" s="1">
        <v>173</v>
      </c>
      <c r="E202">
        <v>198</v>
      </c>
      <c r="F202">
        <v>3675</v>
      </c>
      <c r="G202" t="s">
        <v>3</v>
      </c>
    </row>
    <row r="203" spans="1:7" hidden="1" x14ac:dyDescent="0.45">
      <c r="A203" t="s">
        <v>6</v>
      </c>
      <c r="B203" t="s">
        <v>5</v>
      </c>
      <c r="C203" s="1">
        <v>481</v>
      </c>
      <c r="D203" s="1">
        <v>164</v>
      </c>
      <c r="E203">
        <v>199</v>
      </c>
      <c r="F203">
        <v>3325</v>
      </c>
      <c r="G203" t="s">
        <v>3</v>
      </c>
    </row>
    <row r="204" spans="1:7" x14ac:dyDescent="0.45">
      <c r="A204" t="s">
        <v>6</v>
      </c>
      <c r="B204" t="s">
        <v>5</v>
      </c>
      <c r="C204" s="1">
        <v>514</v>
      </c>
      <c r="D204" s="1">
        <v>190</v>
      </c>
      <c r="E204">
        <v>201</v>
      </c>
      <c r="F204">
        <v>3950</v>
      </c>
      <c r="G204" t="s">
        <v>2</v>
      </c>
    </row>
    <row r="205" spans="1:7" hidden="1" x14ac:dyDescent="0.45">
      <c r="A205" t="s">
        <v>6</v>
      </c>
      <c r="B205" t="s">
        <v>5</v>
      </c>
      <c r="C205" s="1">
        <v>457</v>
      </c>
      <c r="D205" s="1">
        <v>173</v>
      </c>
      <c r="E205">
        <v>193</v>
      </c>
      <c r="F205">
        <v>3600</v>
      </c>
      <c r="G205" t="s">
        <v>3</v>
      </c>
    </row>
    <row r="206" spans="1:7" x14ac:dyDescent="0.45">
      <c r="A206" t="s">
        <v>6</v>
      </c>
      <c r="B206" t="s">
        <v>5</v>
      </c>
      <c r="C206" s="1">
        <v>507</v>
      </c>
      <c r="D206" s="1">
        <v>197</v>
      </c>
      <c r="E206">
        <v>203</v>
      </c>
      <c r="F206">
        <v>4050</v>
      </c>
      <c r="G206" t="s">
        <v>2</v>
      </c>
    </row>
    <row r="207" spans="1:7" hidden="1" x14ac:dyDescent="0.45">
      <c r="A207" t="s">
        <v>6</v>
      </c>
      <c r="B207" t="s">
        <v>5</v>
      </c>
      <c r="C207" s="1">
        <v>425</v>
      </c>
      <c r="D207" s="1">
        <v>173</v>
      </c>
      <c r="E207">
        <v>187</v>
      </c>
      <c r="F207">
        <v>3350</v>
      </c>
      <c r="G207" t="s">
        <v>3</v>
      </c>
    </row>
    <row r="208" spans="1:7" x14ac:dyDescent="0.45">
      <c r="A208" t="s">
        <v>6</v>
      </c>
      <c r="B208" t="s">
        <v>5</v>
      </c>
      <c r="C208" s="1">
        <v>522</v>
      </c>
      <c r="D208" s="1">
        <v>188</v>
      </c>
      <c r="E208">
        <v>197</v>
      </c>
      <c r="F208">
        <v>3450</v>
      </c>
      <c r="G208" t="s">
        <v>2</v>
      </c>
    </row>
    <row r="209" spans="1:7" hidden="1" x14ac:dyDescent="0.45">
      <c r="A209" t="s">
        <v>6</v>
      </c>
      <c r="B209" t="s">
        <v>5</v>
      </c>
      <c r="C209" s="1">
        <v>452</v>
      </c>
      <c r="D209" s="1">
        <v>166</v>
      </c>
      <c r="E209">
        <v>191</v>
      </c>
      <c r="F209">
        <v>3250</v>
      </c>
      <c r="G209" t="s">
        <v>3</v>
      </c>
    </row>
    <row r="210" spans="1:7" x14ac:dyDescent="0.45">
      <c r="A210" t="s">
        <v>6</v>
      </c>
      <c r="B210" t="s">
        <v>5</v>
      </c>
      <c r="C210" s="1">
        <v>493</v>
      </c>
      <c r="D210" s="1">
        <v>199</v>
      </c>
      <c r="E210">
        <v>203</v>
      </c>
      <c r="F210">
        <v>4050</v>
      </c>
      <c r="G210" t="s">
        <v>2</v>
      </c>
    </row>
    <row r="211" spans="1:7" x14ac:dyDescent="0.45">
      <c r="A211" t="s">
        <v>6</v>
      </c>
      <c r="B211" t="s">
        <v>5</v>
      </c>
      <c r="C211" s="1">
        <v>502</v>
      </c>
      <c r="D211" s="1">
        <v>188</v>
      </c>
      <c r="E211">
        <v>202</v>
      </c>
      <c r="F211">
        <v>3800</v>
      </c>
      <c r="G211" t="s">
        <v>2</v>
      </c>
    </row>
    <row r="212" spans="1:7" hidden="1" x14ac:dyDescent="0.45">
      <c r="A212" t="s">
        <v>6</v>
      </c>
      <c r="B212" t="s">
        <v>5</v>
      </c>
      <c r="C212" s="1">
        <v>456</v>
      </c>
      <c r="D212" s="1">
        <v>194</v>
      </c>
      <c r="E212">
        <v>194</v>
      </c>
      <c r="F212">
        <v>3525</v>
      </c>
      <c r="G212" t="s">
        <v>3</v>
      </c>
    </row>
    <row r="213" spans="1:7" x14ac:dyDescent="0.45">
      <c r="A213" t="s">
        <v>6</v>
      </c>
      <c r="B213" t="s">
        <v>5</v>
      </c>
      <c r="C213" s="1">
        <v>519</v>
      </c>
      <c r="D213" s="1">
        <v>195</v>
      </c>
      <c r="E213">
        <v>206</v>
      </c>
      <c r="F213">
        <v>3950</v>
      </c>
      <c r="G213" t="s">
        <v>2</v>
      </c>
    </row>
    <row r="214" spans="1:7" hidden="1" x14ac:dyDescent="0.45">
      <c r="A214" t="s">
        <v>6</v>
      </c>
      <c r="B214" t="s">
        <v>5</v>
      </c>
      <c r="C214" s="1">
        <v>468</v>
      </c>
      <c r="D214" s="1">
        <v>165</v>
      </c>
      <c r="E214">
        <v>189</v>
      </c>
      <c r="F214">
        <v>3650</v>
      </c>
      <c r="G214" t="s">
        <v>3</v>
      </c>
    </row>
    <row r="215" spans="1:7" hidden="1" x14ac:dyDescent="0.45">
      <c r="A215" t="s">
        <v>6</v>
      </c>
      <c r="B215" t="s">
        <v>5</v>
      </c>
      <c r="C215" s="1">
        <v>457</v>
      </c>
      <c r="D215" s="1">
        <v>170</v>
      </c>
      <c r="E215">
        <v>195</v>
      </c>
      <c r="F215">
        <v>3650</v>
      </c>
      <c r="G215" t="s">
        <v>3</v>
      </c>
    </row>
    <row r="216" spans="1:7" x14ac:dyDescent="0.45">
      <c r="A216" t="s">
        <v>6</v>
      </c>
      <c r="B216" t="s">
        <v>5</v>
      </c>
      <c r="C216" s="1">
        <v>558</v>
      </c>
      <c r="D216" s="1">
        <v>198</v>
      </c>
      <c r="E216">
        <v>207</v>
      </c>
      <c r="F216">
        <v>4000</v>
      </c>
      <c r="G216" t="s">
        <v>2</v>
      </c>
    </row>
    <row r="217" spans="1:7" hidden="1" x14ac:dyDescent="0.45">
      <c r="A217" t="s">
        <v>6</v>
      </c>
      <c r="B217" t="s">
        <v>5</v>
      </c>
      <c r="C217" s="1">
        <v>435</v>
      </c>
      <c r="D217" s="1">
        <v>181</v>
      </c>
      <c r="E217">
        <v>202</v>
      </c>
      <c r="F217">
        <v>3400</v>
      </c>
      <c r="G217" t="s">
        <v>3</v>
      </c>
    </row>
    <row r="218" spans="1:7" x14ac:dyDescent="0.45">
      <c r="A218" t="s">
        <v>6</v>
      </c>
      <c r="B218" t="s">
        <v>5</v>
      </c>
      <c r="C218" s="1">
        <v>496</v>
      </c>
      <c r="D218" s="1">
        <v>182</v>
      </c>
      <c r="E218">
        <v>193</v>
      </c>
      <c r="F218">
        <v>3775</v>
      </c>
      <c r="G218" t="s">
        <v>2</v>
      </c>
    </row>
    <row r="219" spans="1:7" x14ac:dyDescent="0.45">
      <c r="A219" t="s">
        <v>6</v>
      </c>
      <c r="B219" t="s">
        <v>5</v>
      </c>
      <c r="C219" s="1">
        <v>508</v>
      </c>
      <c r="D219" s="1">
        <v>190</v>
      </c>
      <c r="E219">
        <v>210</v>
      </c>
      <c r="F219">
        <v>4100</v>
      </c>
      <c r="G219" t="s">
        <v>2</v>
      </c>
    </row>
    <row r="220" spans="1:7" hidden="1" x14ac:dyDescent="0.45">
      <c r="A220" t="s">
        <v>6</v>
      </c>
      <c r="B220" t="s">
        <v>5</v>
      </c>
      <c r="C220" s="1">
        <v>502</v>
      </c>
      <c r="D220" s="1">
        <v>187</v>
      </c>
      <c r="E220">
        <v>198</v>
      </c>
      <c r="F220">
        <v>3775</v>
      </c>
      <c r="G220" t="s">
        <v>3</v>
      </c>
    </row>
    <row r="221" spans="1:7" hidden="1" x14ac:dyDescent="0.45">
      <c r="A221" t="s">
        <v>7</v>
      </c>
      <c r="B221" t="s">
        <v>4</v>
      </c>
      <c r="C221" s="1">
        <v>461</v>
      </c>
      <c r="D221" s="1">
        <v>132</v>
      </c>
      <c r="E221">
        <v>211</v>
      </c>
      <c r="F221">
        <v>4500</v>
      </c>
      <c r="G221" t="s">
        <v>3</v>
      </c>
    </row>
    <row r="222" spans="1:7" x14ac:dyDescent="0.45">
      <c r="A222" t="s">
        <v>7</v>
      </c>
      <c r="B222" t="s">
        <v>4</v>
      </c>
      <c r="C222" s="1">
        <v>500</v>
      </c>
      <c r="D222" s="1">
        <v>163</v>
      </c>
      <c r="E222">
        <v>230</v>
      </c>
      <c r="F222">
        <v>5700</v>
      </c>
      <c r="G222" t="s">
        <v>2</v>
      </c>
    </row>
    <row r="223" spans="1:7" hidden="1" x14ac:dyDescent="0.45">
      <c r="A223" t="s">
        <v>7</v>
      </c>
      <c r="B223" t="s">
        <v>4</v>
      </c>
      <c r="C223" s="1">
        <v>487</v>
      </c>
      <c r="D223" s="1">
        <v>141</v>
      </c>
      <c r="E223">
        <v>210</v>
      </c>
      <c r="F223">
        <v>4450</v>
      </c>
      <c r="G223" t="s">
        <v>3</v>
      </c>
    </row>
    <row r="224" spans="1:7" x14ac:dyDescent="0.45">
      <c r="A224" t="s">
        <v>7</v>
      </c>
      <c r="B224" t="s">
        <v>4</v>
      </c>
      <c r="C224" s="1">
        <v>500</v>
      </c>
      <c r="D224" s="1">
        <v>152</v>
      </c>
      <c r="E224">
        <v>218</v>
      </c>
      <c r="F224">
        <v>5700</v>
      </c>
      <c r="G224" t="s">
        <v>2</v>
      </c>
    </row>
    <row r="225" spans="1:7" x14ac:dyDescent="0.45">
      <c r="A225" t="s">
        <v>7</v>
      </c>
      <c r="B225" t="s">
        <v>4</v>
      </c>
      <c r="C225" s="1">
        <v>476</v>
      </c>
      <c r="D225" s="1">
        <v>145</v>
      </c>
      <c r="E225">
        <v>215</v>
      </c>
      <c r="F225">
        <v>5400</v>
      </c>
      <c r="G225" t="s">
        <v>2</v>
      </c>
    </row>
    <row r="226" spans="1:7" hidden="1" x14ac:dyDescent="0.45">
      <c r="A226" t="s">
        <v>7</v>
      </c>
      <c r="B226" t="s">
        <v>4</v>
      </c>
      <c r="C226" s="1">
        <v>465</v>
      </c>
      <c r="D226" s="1">
        <v>135</v>
      </c>
      <c r="E226">
        <v>210</v>
      </c>
      <c r="F226">
        <v>4550</v>
      </c>
      <c r="G226" t="s">
        <v>3</v>
      </c>
    </row>
    <row r="227" spans="1:7" hidden="1" x14ac:dyDescent="0.45">
      <c r="A227" t="s">
        <v>7</v>
      </c>
      <c r="B227" t="s">
        <v>4</v>
      </c>
      <c r="C227" s="1">
        <v>454</v>
      </c>
      <c r="D227" s="1">
        <v>146</v>
      </c>
      <c r="E227">
        <v>211</v>
      </c>
      <c r="F227">
        <v>4800</v>
      </c>
      <c r="G227" t="s">
        <v>3</v>
      </c>
    </row>
    <row r="228" spans="1:7" x14ac:dyDescent="0.45">
      <c r="A228" t="s">
        <v>7</v>
      </c>
      <c r="B228" t="s">
        <v>4</v>
      </c>
      <c r="C228" s="1">
        <v>467</v>
      </c>
      <c r="D228" s="1">
        <v>153</v>
      </c>
      <c r="E228">
        <v>219</v>
      </c>
      <c r="F228">
        <v>5200</v>
      </c>
      <c r="G228" t="s">
        <v>2</v>
      </c>
    </row>
    <row r="229" spans="1:7" hidden="1" x14ac:dyDescent="0.45">
      <c r="A229" t="s">
        <v>7</v>
      </c>
      <c r="B229" t="s">
        <v>4</v>
      </c>
      <c r="C229" s="1">
        <v>433</v>
      </c>
      <c r="D229" s="1">
        <v>134</v>
      </c>
      <c r="E229">
        <v>209</v>
      </c>
      <c r="F229">
        <v>4400</v>
      </c>
      <c r="G229" t="s">
        <v>3</v>
      </c>
    </row>
    <row r="230" spans="1:7" x14ac:dyDescent="0.45">
      <c r="A230" t="s">
        <v>7</v>
      </c>
      <c r="B230" t="s">
        <v>4</v>
      </c>
      <c r="C230" s="1">
        <v>468</v>
      </c>
      <c r="D230" s="1">
        <v>154</v>
      </c>
      <c r="E230">
        <v>215</v>
      </c>
      <c r="F230">
        <v>5150</v>
      </c>
      <c r="G230" t="s">
        <v>2</v>
      </c>
    </row>
    <row r="231" spans="1:7" hidden="1" x14ac:dyDescent="0.45">
      <c r="A231" t="s">
        <v>7</v>
      </c>
      <c r="B231" t="s">
        <v>4</v>
      </c>
      <c r="C231" s="1">
        <v>409</v>
      </c>
      <c r="D231" s="1">
        <v>137</v>
      </c>
      <c r="E231">
        <v>214</v>
      </c>
      <c r="F231">
        <v>4650</v>
      </c>
      <c r="G231" t="s">
        <v>3</v>
      </c>
    </row>
    <row r="232" spans="1:7" x14ac:dyDescent="0.45">
      <c r="A232" t="s">
        <v>7</v>
      </c>
      <c r="B232" t="s">
        <v>4</v>
      </c>
      <c r="C232" s="1">
        <v>490</v>
      </c>
      <c r="D232" s="1">
        <v>161</v>
      </c>
      <c r="E232">
        <v>216</v>
      </c>
      <c r="F232">
        <v>5550</v>
      </c>
      <c r="G232" t="s">
        <v>2</v>
      </c>
    </row>
    <row r="233" spans="1:7" hidden="1" x14ac:dyDescent="0.45">
      <c r="A233" t="s">
        <v>7</v>
      </c>
      <c r="B233" t="s">
        <v>4</v>
      </c>
      <c r="C233" s="1">
        <v>455</v>
      </c>
      <c r="D233" s="1">
        <v>137</v>
      </c>
      <c r="E233">
        <v>214</v>
      </c>
      <c r="F233">
        <v>4650</v>
      </c>
      <c r="G233" t="s">
        <v>3</v>
      </c>
    </row>
    <row r="234" spans="1:7" x14ac:dyDescent="0.45">
      <c r="A234" t="s">
        <v>7</v>
      </c>
      <c r="B234" t="s">
        <v>4</v>
      </c>
      <c r="C234" s="1">
        <v>484</v>
      </c>
      <c r="D234" s="1">
        <v>146</v>
      </c>
      <c r="E234">
        <v>213</v>
      </c>
      <c r="F234">
        <v>5850</v>
      </c>
      <c r="G234" t="s">
        <v>2</v>
      </c>
    </row>
    <row r="235" spans="1:7" hidden="1" x14ac:dyDescent="0.45">
      <c r="A235" t="s">
        <v>7</v>
      </c>
      <c r="B235" t="s">
        <v>4</v>
      </c>
      <c r="C235" s="1">
        <v>458</v>
      </c>
      <c r="D235" s="1">
        <v>146</v>
      </c>
      <c r="E235">
        <v>210</v>
      </c>
      <c r="F235">
        <v>4200</v>
      </c>
      <c r="G235" t="s">
        <v>3</v>
      </c>
    </row>
    <row r="236" spans="1:7" x14ac:dyDescent="0.45">
      <c r="A236" t="s">
        <v>7</v>
      </c>
      <c r="B236" t="s">
        <v>4</v>
      </c>
      <c r="C236" s="1">
        <v>493</v>
      </c>
      <c r="D236" s="1">
        <v>157</v>
      </c>
      <c r="E236">
        <v>217</v>
      </c>
      <c r="F236">
        <v>5850</v>
      </c>
      <c r="G236" t="s">
        <v>2</v>
      </c>
    </row>
    <row r="237" spans="1:7" hidden="1" x14ac:dyDescent="0.45">
      <c r="A237" t="s">
        <v>7</v>
      </c>
      <c r="B237" t="s">
        <v>4</v>
      </c>
      <c r="C237" s="1">
        <v>420</v>
      </c>
      <c r="D237" s="1">
        <v>135</v>
      </c>
      <c r="E237">
        <v>210</v>
      </c>
      <c r="F237">
        <v>4150</v>
      </c>
      <c r="G237" t="s">
        <v>3</v>
      </c>
    </row>
    <row r="238" spans="1:7" x14ac:dyDescent="0.45">
      <c r="A238" t="s">
        <v>7</v>
      </c>
      <c r="B238" t="s">
        <v>4</v>
      </c>
      <c r="C238" s="1">
        <v>492</v>
      </c>
      <c r="D238" s="1">
        <v>152</v>
      </c>
      <c r="E238">
        <v>221</v>
      </c>
      <c r="F238">
        <v>6300</v>
      </c>
      <c r="G238" t="s">
        <v>2</v>
      </c>
    </row>
    <row r="239" spans="1:7" hidden="1" x14ac:dyDescent="0.45">
      <c r="A239" t="s">
        <v>7</v>
      </c>
      <c r="B239" t="s">
        <v>4</v>
      </c>
      <c r="C239" s="1">
        <v>462</v>
      </c>
      <c r="D239" s="1">
        <v>145</v>
      </c>
      <c r="E239">
        <v>209</v>
      </c>
      <c r="F239">
        <v>4800</v>
      </c>
      <c r="G239" t="s">
        <v>3</v>
      </c>
    </row>
    <row r="240" spans="1:7" x14ac:dyDescent="0.45">
      <c r="A240" t="s">
        <v>7</v>
      </c>
      <c r="B240" t="s">
        <v>4</v>
      </c>
      <c r="C240" s="1">
        <v>487</v>
      </c>
      <c r="D240" s="1">
        <v>151</v>
      </c>
      <c r="E240">
        <v>222</v>
      </c>
      <c r="F240">
        <v>5350</v>
      </c>
      <c r="G240" t="s">
        <v>2</v>
      </c>
    </row>
    <row r="241" spans="1:7" x14ac:dyDescent="0.45">
      <c r="A241" t="s">
        <v>7</v>
      </c>
      <c r="B241" t="s">
        <v>4</v>
      </c>
      <c r="C241" s="1">
        <v>502</v>
      </c>
      <c r="D241" s="1">
        <v>143</v>
      </c>
      <c r="E241">
        <v>218</v>
      </c>
      <c r="F241">
        <v>5700</v>
      </c>
      <c r="G241" t="s">
        <v>2</v>
      </c>
    </row>
    <row r="242" spans="1:7" hidden="1" x14ac:dyDescent="0.45">
      <c r="A242" t="s">
        <v>7</v>
      </c>
      <c r="B242" t="s">
        <v>4</v>
      </c>
      <c r="C242" s="1">
        <v>451</v>
      </c>
      <c r="D242" s="1">
        <v>145</v>
      </c>
      <c r="E242">
        <v>215</v>
      </c>
      <c r="F242">
        <v>5000</v>
      </c>
      <c r="G242" t="s">
        <v>3</v>
      </c>
    </row>
    <row r="243" spans="1:7" hidden="1" x14ac:dyDescent="0.45">
      <c r="A243" t="s">
        <v>7</v>
      </c>
      <c r="B243" t="s">
        <v>4</v>
      </c>
      <c r="C243" s="1">
        <v>465</v>
      </c>
      <c r="D243" s="1">
        <v>145</v>
      </c>
      <c r="E243">
        <v>213</v>
      </c>
      <c r="F243">
        <v>4400</v>
      </c>
      <c r="G243" t="s">
        <v>3</v>
      </c>
    </row>
    <row r="244" spans="1:7" x14ac:dyDescent="0.45">
      <c r="A244" t="s">
        <v>7</v>
      </c>
      <c r="B244" t="s">
        <v>4</v>
      </c>
      <c r="C244" s="1">
        <v>463</v>
      </c>
      <c r="D244" s="1">
        <v>158</v>
      </c>
      <c r="E244">
        <v>215</v>
      </c>
      <c r="F244">
        <v>5050</v>
      </c>
      <c r="G244" t="s">
        <v>2</v>
      </c>
    </row>
    <row r="245" spans="1:7" hidden="1" x14ac:dyDescent="0.45">
      <c r="A245" t="s">
        <v>7</v>
      </c>
      <c r="B245" t="s">
        <v>4</v>
      </c>
      <c r="C245" s="1">
        <v>429</v>
      </c>
      <c r="D245" s="1">
        <v>131</v>
      </c>
      <c r="E245">
        <v>215</v>
      </c>
      <c r="F245">
        <v>5000</v>
      </c>
      <c r="G245" t="s">
        <v>3</v>
      </c>
    </row>
    <row r="246" spans="1:7" x14ac:dyDescent="0.45">
      <c r="A246" t="s">
        <v>7</v>
      </c>
      <c r="B246" t="s">
        <v>4</v>
      </c>
      <c r="C246" s="1">
        <v>461</v>
      </c>
      <c r="D246" s="1">
        <v>151</v>
      </c>
      <c r="E246">
        <v>215</v>
      </c>
      <c r="F246">
        <v>5100</v>
      </c>
      <c r="G246" t="s">
        <v>2</v>
      </c>
    </row>
    <row r="247" spans="1:7" hidden="1" x14ac:dyDescent="0.45">
      <c r="A247" t="s">
        <v>7</v>
      </c>
      <c r="B247" t="s">
        <v>4</v>
      </c>
      <c r="C247" s="1">
        <v>445</v>
      </c>
      <c r="D247" s="1">
        <v>143</v>
      </c>
      <c r="E247">
        <v>216</v>
      </c>
      <c r="F247">
        <v>4100</v>
      </c>
      <c r="G247" t="s">
        <v>3</v>
      </c>
    </row>
    <row r="248" spans="1:7" x14ac:dyDescent="0.45">
      <c r="A248" t="s">
        <v>7</v>
      </c>
      <c r="B248" t="s">
        <v>4</v>
      </c>
      <c r="C248" s="1">
        <v>478</v>
      </c>
      <c r="D248" s="1">
        <v>150</v>
      </c>
      <c r="E248">
        <v>215</v>
      </c>
      <c r="F248">
        <v>5650</v>
      </c>
      <c r="G248" t="s">
        <v>2</v>
      </c>
    </row>
    <row r="249" spans="1:7" hidden="1" x14ac:dyDescent="0.45">
      <c r="A249" t="s">
        <v>7</v>
      </c>
      <c r="B249" t="s">
        <v>4</v>
      </c>
      <c r="C249" s="1">
        <v>482</v>
      </c>
      <c r="D249" s="1">
        <v>143</v>
      </c>
      <c r="E249">
        <v>210</v>
      </c>
      <c r="F249">
        <v>4600</v>
      </c>
      <c r="G249" t="s">
        <v>3</v>
      </c>
    </row>
    <row r="250" spans="1:7" x14ac:dyDescent="0.45">
      <c r="A250" t="s">
        <v>7</v>
      </c>
      <c r="B250" t="s">
        <v>4</v>
      </c>
      <c r="C250" s="1">
        <v>500</v>
      </c>
      <c r="D250" s="1">
        <v>153</v>
      </c>
      <c r="E250">
        <v>220</v>
      </c>
      <c r="F250">
        <v>5550</v>
      </c>
      <c r="G250" t="s">
        <v>2</v>
      </c>
    </row>
    <row r="251" spans="1:7" x14ac:dyDescent="0.45">
      <c r="A251" t="s">
        <v>7</v>
      </c>
      <c r="B251" t="s">
        <v>4</v>
      </c>
      <c r="C251" s="1">
        <v>473</v>
      </c>
      <c r="D251" s="1">
        <v>153</v>
      </c>
      <c r="E251">
        <v>222</v>
      </c>
      <c r="F251">
        <v>5250</v>
      </c>
      <c r="G251" t="s">
        <v>2</v>
      </c>
    </row>
    <row r="252" spans="1:7" hidden="1" x14ac:dyDescent="0.45">
      <c r="A252" t="s">
        <v>7</v>
      </c>
      <c r="B252" t="s">
        <v>4</v>
      </c>
      <c r="C252" s="1">
        <v>428</v>
      </c>
      <c r="D252" s="1">
        <v>142</v>
      </c>
      <c r="E252">
        <v>209</v>
      </c>
      <c r="F252">
        <v>4700</v>
      </c>
      <c r="G252" t="s">
        <v>3</v>
      </c>
    </row>
    <row r="253" spans="1:7" hidden="1" x14ac:dyDescent="0.45">
      <c r="A253" t="s">
        <v>7</v>
      </c>
      <c r="B253" t="s">
        <v>4</v>
      </c>
      <c r="C253" s="1">
        <v>451</v>
      </c>
      <c r="D253" s="1">
        <v>145</v>
      </c>
      <c r="E253">
        <v>207</v>
      </c>
      <c r="F253">
        <v>5050</v>
      </c>
      <c r="G253" t="s">
        <v>3</v>
      </c>
    </row>
    <row r="254" spans="1:7" x14ac:dyDescent="0.45">
      <c r="A254" t="s">
        <v>7</v>
      </c>
      <c r="B254" t="s">
        <v>4</v>
      </c>
      <c r="C254" s="1">
        <v>596</v>
      </c>
      <c r="D254" s="1">
        <v>170</v>
      </c>
      <c r="E254">
        <v>230</v>
      </c>
      <c r="F254">
        <v>6050</v>
      </c>
      <c r="G254" t="s">
        <v>2</v>
      </c>
    </row>
    <row r="255" spans="1:7" hidden="1" x14ac:dyDescent="0.45">
      <c r="A255" t="s">
        <v>7</v>
      </c>
      <c r="B255" t="s">
        <v>4</v>
      </c>
      <c r="C255" s="1">
        <v>491</v>
      </c>
      <c r="D255" s="1">
        <v>148</v>
      </c>
      <c r="E255">
        <v>220</v>
      </c>
      <c r="F255">
        <v>5150</v>
      </c>
      <c r="G255" t="s">
        <v>3</v>
      </c>
    </row>
    <row r="256" spans="1:7" x14ac:dyDescent="0.45">
      <c r="A256" t="s">
        <v>7</v>
      </c>
      <c r="B256" t="s">
        <v>4</v>
      </c>
      <c r="C256" s="1">
        <v>484</v>
      </c>
      <c r="D256" s="1">
        <v>163</v>
      </c>
      <c r="E256">
        <v>220</v>
      </c>
      <c r="F256">
        <v>5400</v>
      </c>
      <c r="G256" t="s">
        <v>2</v>
      </c>
    </row>
    <row r="257" spans="1:7" hidden="1" x14ac:dyDescent="0.45">
      <c r="A257" t="s">
        <v>7</v>
      </c>
      <c r="B257" t="s">
        <v>4</v>
      </c>
      <c r="C257" s="1">
        <v>426</v>
      </c>
      <c r="D257" s="1">
        <v>137</v>
      </c>
      <c r="E257">
        <v>213</v>
      </c>
      <c r="F257">
        <v>4950</v>
      </c>
      <c r="G257" t="s">
        <v>3</v>
      </c>
    </row>
    <row r="258" spans="1:7" x14ac:dyDescent="0.45">
      <c r="A258" t="s">
        <v>7</v>
      </c>
      <c r="B258" t="s">
        <v>4</v>
      </c>
      <c r="C258" s="1">
        <v>444</v>
      </c>
      <c r="D258" s="1">
        <v>173</v>
      </c>
      <c r="E258">
        <v>219</v>
      </c>
      <c r="F258">
        <v>5250</v>
      </c>
      <c r="G258" t="s">
        <v>2</v>
      </c>
    </row>
    <row r="259" spans="1:7" hidden="1" x14ac:dyDescent="0.45">
      <c r="A259" t="s">
        <v>7</v>
      </c>
      <c r="B259" t="s">
        <v>4</v>
      </c>
      <c r="C259" s="1">
        <v>440</v>
      </c>
      <c r="D259" s="1">
        <v>136</v>
      </c>
      <c r="E259">
        <v>208</v>
      </c>
      <c r="F259">
        <v>4350</v>
      </c>
      <c r="G259" t="s">
        <v>3</v>
      </c>
    </row>
    <row r="260" spans="1:7" x14ac:dyDescent="0.45">
      <c r="A260" t="s">
        <v>7</v>
      </c>
      <c r="B260" t="s">
        <v>4</v>
      </c>
      <c r="C260" s="1">
        <v>487</v>
      </c>
      <c r="D260" s="1">
        <v>157</v>
      </c>
      <c r="E260">
        <v>208</v>
      </c>
      <c r="F260">
        <v>5350</v>
      </c>
      <c r="G260" t="s">
        <v>2</v>
      </c>
    </row>
    <row r="261" spans="1:7" hidden="1" x14ac:dyDescent="0.45">
      <c r="A261" t="s">
        <v>7</v>
      </c>
      <c r="B261" t="s">
        <v>4</v>
      </c>
      <c r="C261" s="1">
        <v>427</v>
      </c>
      <c r="D261" s="1">
        <v>137</v>
      </c>
      <c r="E261">
        <v>208</v>
      </c>
      <c r="F261">
        <v>3950</v>
      </c>
      <c r="G261" t="s">
        <v>3</v>
      </c>
    </row>
    <row r="262" spans="1:7" x14ac:dyDescent="0.45">
      <c r="A262" t="s">
        <v>7</v>
      </c>
      <c r="B262" t="s">
        <v>4</v>
      </c>
      <c r="C262" s="1">
        <v>496</v>
      </c>
      <c r="D262" s="1">
        <v>160</v>
      </c>
      <c r="E262">
        <v>225</v>
      </c>
      <c r="F262">
        <v>5700</v>
      </c>
      <c r="G262" t="s">
        <v>2</v>
      </c>
    </row>
    <row r="263" spans="1:7" hidden="1" x14ac:dyDescent="0.45">
      <c r="A263" t="s">
        <v>7</v>
      </c>
      <c r="B263" t="s">
        <v>4</v>
      </c>
      <c r="C263" s="1">
        <v>453</v>
      </c>
      <c r="D263" s="1">
        <v>137</v>
      </c>
      <c r="E263">
        <v>210</v>
      </c>
      <c r="F263">
        <v>4300</v>
      </c>
      <c r="G263" t="s">
        <v>3</v>
      </c>
    </row>
    <row r="264" spans="1:7" x14ac:dyDescent="0.45">
      <c r="A264" t="s">
        <v>7</v>
      </c>
      <c r="B264" t="s">
        <v>4</v>
      </c>
      <c r="C264" s="1">
        <v>496</v>
      </c>
      <c r="D264" s="1">
        <v>150</v>
      </c>
      <c r="E264">
        <v>216</v>
      </c>
      <c r="F264">
        <v>4750</v>
      </c>
      <c r="G264" t="s">
        <v>2</v>
      </c>
    </row>
    <row r="265" spans="1:7" x14ac:dyDescent="0.45">
      <c r="A265" t="s">
        <v>7</v>
      </c>
      <c r="B265" t="s">
        <v>4</v>
      </c>
      <c r="C265" s="1">
        <v>505</v>
      </c>
      <c r="D265" s="1">
        <v>159</v>
      </c>
      <c r="E265">
        <v>222</v>
      </c>
      <c r="F265">
        <v>5550</v>
      </c>
      <c r="G265" t="s">
        <v>2</v>
      </c>
    </row>
    <row r="266" spans="1:7" hidden="1" x14ac:dyDescent="0.45">
      <c r="A266" t="s">
        <v>7</v>
      </c>
      <c r="B266" t="s">
        <v>4</v>
      </c>
      <c r="C266" s="1">
        <v>436</v>
      </c>
      <c r="D266" s="1">
        <v>139</v>
      </c>
      <c r="E266">
        <v>217</v>
      </c>
      <c r="F266">
        <v>4900</v>
      </c>
      <c r="G266" t="s">
        <v>3</v>
      </c>
    </row>
    <row r="267" spans="1:7" hidden="1" x14ac:dyDescent="0.45">
      <c r="A267" t="s">
        <v>7</v>
      </c>
      <c r="B267" t="s">
        <v>4</v>
      </c>
      <c r="C267" s="1">
        <v>455</v>
      </c>
      <c r="D267" s="1">
        <v>139</v>
      </c>
      <c r="E267">
        <v>210</v>
      </c>
      <c r="F267">
        <v>4200</v>
      </c>
      <c r="G267" t="s">
        <v>3</v>
      </c>
    </row>
    <row r="268" spans="1:7" x14ac:dyDescent="0.45">
      <c r="A268" t="s">
        <v>7</v>
      </c>
      <c r="B268" t="s">
        <v>4</v>
      </c>
      <c r="C268" s="1">
        <v>505</v>
      </c>
      <c r="D268" s="1">
        <v>159</v>
      </c>
      <c r="E268">
        <v>225</v>
      </c>
      <c r="F268">
        <v>5400</v>
      </c>
      <c r="G268" t="s">
        <v>2</v>
      </c>
    </row>
    <row r="269" spans="1:7" hidden="1" x14ac:dyDescent="0.45">
      <c r="A269" t="s">
        <v>7</v>
      </c>
      <c r="B269" t="s">
        <v>4</v>
      </c>
      <c r="C269" s="1">
        <v>449</v>
      </c>
      <c r="D269" s="1">
        <v>133</v>
      </c>
      <c r="E269">
        <v>213</v>
      </c>
      <c r="F269">
        <v>5100</v>
      </c>
      <c r="G269" t="s">
        <v>3</v>
      </c>
    </row>
    <row r="270" spans="1:7" x14ac:dyDescent="0.45">
      <c r="A270" t="s">
        <v>7</v>
      </c>
      <c r="B270" t="s">
        <v>4</v>
      </c>
      <c r="C270" s="1">
        <v>452</v>
      </c>
      <c r="D270" s="1">
        <v>158</v>
      </c>
      <c r="E270">
        <v>215</v>
      </c>
      <c r="F270">
        <v>5300</v>
      </c>
      <c r="G270" t="s">
        <v>2</v>
      </c>
    </row>
    <row r="271" spans="1:7" hidden="1" x14ac:dyDescent="0.45">
      <c r="A271" t="s">
        <v>7</v>
      </c>
      <c r="B271" t="s">
        <v>4</v>
      </c>
      <c r="C271" s="1">
        <v>466</v>
      </c>
      <c r="D271" s="1">
        <v>142</v>
      </c>
      <c r="E271">
        <v>210</v>
      </c>
      <c r="F271">
        <v>4850</v>
      </c>
      <c r="G271" t="s">
        <v>3</v>
      </c>
    </row>
    <row r="272" spans="1:7" x14ac:dyDescent="0.45">
      <c r="A272" t="s">
        <v>7</v>
      </c>
      <c r="B272" t="s">
        <v>4</v>
      </c>
      <c r="C272" s="1">
        <v>485</v>
      </c>
      <c r="D272" s="1">
        <v>141</v>
      </c>
      <c r="E272">
        <v>220</v>
      </c>
      <c r="F272">
        <v>5300</v>
      </c>
      <c r="G272" t="s">
        <v>2</v>
      </c>
    </row>
    <row r="273" spans="1:7" hidden="1" x14ac:dyDescent="0.45">
      <c r="A273" t="s">
        <v>7</v>
      </c>
      <c r="B273" t="s">
        <v>4</v>
      </c>
      <c r="C273" s="1">
        <v>451</v>
      </c>
      <c r="D273" s="1">
        <v>144</v>
      </c>
      <c r="E273">
        <v>210</v>
      </c>
      <c r="F273">
        <v>4400</v>
      </c>
      <c r="G273" t="s">
        <v>3</v>
      </c>
    </row>
    <row r="274" spans="1:7" x14ac:dyDescent="0.45">
      <c r="A274" t="s">
        <v>7</v>
      </c>
      <c r="B274" t="s">
        <v>4</v>
      </c>
      <c r="C274" s="1">
        <v>501</v>
      </c>
      <c r="D274" s="1">
        <v>150</v>
      </c>
      <c r="E274">
        <v>225</v>
      </c>
      <c r="F274">
        <v>5000</v>
      </c>
      <c r="G274" t="s">
        <v>2</v>
      </c>
    </row>
    <row r="275" spans="1:7" hidden="1" x14ac:dyDescent="0.45">
      <c r="A275" t="s">
        <v>7</v>
      </c>
      <c r="B275" t="s">
        <v>4</v>
      </c>
      <c r="C275" s="1">
        <v>465</v>
      </c>
      <c r="D275" s="1">
        <v>144</v>
      </c>
      <c r="E275">
        <v>217</v>
      </c>
      <c r="F275">
        <v>4900</v>
      </c>
      <c r="G275" t="s">
        <v>3</v>
      </c>
    </row>
    <row r="276" spans="1:7" x14ac:dyDescent="0.45">
      <c r="A276" t="s">
        <v>7</v>
      </c>
      <c r="B276" t="s">
        <v>4</v>
      </c>
      <c r="C276" s="1">
        <v>450</v>
      </c>
      <c r="D276" s="1">
        <v>154</v>
      </c>
      <c r="E276">
        <v>220</v>
      </c>
      <c r="F276">
        <v>5050</v>
      </c>
      <c r="G276" t="s">
        <v>2</v>
      </c>
    </row>
    <row r="277" spans="1:7" hidden="1" x14ac:dyDescent="0.45">
      <c r="A277" t="s">
        <v>7</v>
      </c>
      <c r="B277" t="s">
        <v>4</v>
      </c>
      <c r="C277" s="1">
        <v>438</v>
      </c>
      <c r="D277" s="1">
        <v>139</v>
      </c>
      <c r="E277">
        <v>208</v>
      </c>
      <c r="F277">
        <v>4300</v>
      </c>
      <c r="G277" t="s">
        <v>3</v>
      </c>
    </row>
    <row r="278" spans="1:7" x14ac:dyDescent="0.45">
      <c r="A278" t="s">
        <v>7</v>
      </c>
      <c r="B278" t="s">
        <v>4</v>
      </c>
      <c r="C278" s="1">
        <v>455</v>
      </c>
      <c r="D278" s="1">
        <v>150</v>
      </c>
      <c r="E278">
        <v>220</v>
      </c>
      <c r="F278">
        <v>5000</v>
      </c>
      <c r="G278" t="s">
        <v>2</v>
      </c>
    </row>
    <row r="279" spans="1:7" hidden="1" x14ac:dyDescent="0.45">
      <c r="A279" t="s">
        <v>7</v>
      </c>
      <c r="B279" t="s">
        <v>4</v>
      </c>
      <c r="C279" s="1">
        <v>432</v>
      </c>
      <c r="D279" s="1">
        <v>145</v>
      </c>
      <c r="E279">
        <v>208</v>
      </c>
      <c r="F279">
        <v>4450</v>
      </c>
      <c r="G279" t="s">
        <v>3</v>
      </c>
    </row>
    <row r="280" spans="1:7" x14ac:dyDescent="0.45">
      <c r="A280" t="s">
        <v>7</v>
      </c>
      <c r="B280" t="s">
        <v>4</v>
      </c>
      <c r="C280" s="1">
        <v>504</v>
      </c>
      <c r="D280" s="1">
        <v>153</v>
      </c>
      <c r="E280">
        <v>224</v>
      </c>
      <c r="F280">
        <v>5550</v>
      </c>
      <c r="G280" t="s">
        <v>2</v>
      </c>
    </row>
    <row r="281" spans="1:7" hidden="1" x14ac:dyDescent="0.45">
      <c r="A281" t="s">
        <v>7</v>
      </c>
      <c r="B281" t="s">
        <v>4</v>
      </c>
      <c r="C281" s="1">
        <v>453</v>
      </c>
      <c r="D281" s="1">
        <v>138</v>
      </c>
      <c r="E281">
        <v>208</v>
      </c>
      <c r="F281">
        <v>4200</v>
      </c>
      <c r="G281" t="s">
        <v>3</v>
      </c>
    </row>
    <row r="282" spans="1:7" x14ac:dyDescent="0.45">
      <c r="A282" t="s">
        <v>7</v>
      </c>
      <c r="B282" t="s">
        <v>4</v>
      </c>
      <c r="C282" s="1">
        <v>462</v>
      </c>
      <c r="D282" s="1">
        <v>149</v>
      </c>
      <c r="E282">
        <v>221</v>
      </c>
      <c r="F282">
        <v>5300</v>
      </c>
      <c r="G282" t="s">
        <v>2</v>
      </c>
    </row>
    <row r="283" spans="1:7" hidden="1" x14ac:dyDescent="0.45">
      <c r="A283" t="s">
        <v>7</v>
      </c>
      <c r="B283" t="s">
        <v>4</v>
      </c>
      <c r="C283" s="1">
        <v>457</v>
      </c>
      <c r="D283" s="1">
        <v>139</v>
      </c>
      <c r="E283">
        <v>214</v>
      </c>
      <c r="F283">
        <v>4400</v>
      </c>
      <c r="G283" t="s">
        <v>3</v>
      </c>
    </row>
    <row r="284" spans="1:7" x14ac:dyDescent="0.45">
      <c r="A284" t="s">
        <v>7</v>
      </c>
      <c r="B284" t="s">
        <v>4</v>
      </c>
      <c r="C284" s="1">
        <v>543</v>
      </c>
      <c r="D284" s="1">
        <v>157</v>
      </c>
      <c r="E284">
        <v>231</v>
      </c>
      <c r="F284">
        <v>5650</v>
      </c>
      <c r="G284" t="s">
        <v>2</v>
      </c>
    </row>
    <row r="285" spans="1:7" hidden="1" x14ac:dyDescent="0.45">
      <c r="A285" t="s">
        <v>7</v>
      </c>
      <c r="B285" t="s">
        <v>4</v>
      </c>
      <c r="C285" s="1">
        <v>458</v>
      </c>
      <c r="D285" s="1">
        <v>142</v>
      </c>
      <c r="E285">
        <v>219</v>
      </c>
      <c r="F285">
        <v>4700</v>
      </c>
      <c r="G285" t="s">
        <v>3</v>
      </c>
    </row>
    <row r="286" spans="1:7" x14ac:dyDescent="0.45">
      <c r="A286" t="s">
        <v>7</v>
      </c>
      <c r="B286" t="s">
        <v>4</v>
      </c>
      <c r="C286" s="1">
        <v>498</v>
      </c>
      <c r="D286" s="1">
        <v>168</v>
      </c>
      <c r="E286">
        <v>230</v>
      </c>
      <c r="F286">
        <v>5700</v>
      </c>
      <c r="G286" t="s">
        <v>2</v>
      </c>
    </row>
    <row r="287" spans="1:7" hidden="1" x14ac:dyDescent="0.45">
      <c r="A287" t="s">
        <v>7</v>
      </c>
      <c r="B287" t="s">
        <v>4</v>
      </c>
      <c r="C287" s="1">
        <v>462</v>
      </c>
      <c r="D287" s="1">
        <v>144</v>
      </c>
      <c r="E287">
        <v>214</v>
      </c>
      <c r="F287">
        <v>4650</v>
      </c>
      <c r="G287" t="s">
        <v>3</v>
      </c>
    </row>
    <row r="288" spans="1:7" x14ac:dyDescent="0.45">
      <c r="A288" t="s">
        <v>7</v>
      </c>
      <c r="B288" t="s">
        <v>4</v>
      </c>
      <c r="C288" s="1">
        <v>495</v>
      </c>
      <c r="D288" s="1">
        <v>162</v>
      </c>
      <c r="E288">
        <v>229</v>
      </c>
      <c r="F288">
        <v>5800</v>
      </c>
      <c r="G288" t="s">
        <v>2</v>
      </c>
    </row>
    <row r="289" spans="1:7" hidden="1" x14ac:dyDescent="0.45">
      <c r="A289" t="s">
        <v>7</v>
      </c>
      <c r="B289" t="s">
        <v>4</v>
      </c>
      <c r="C289" s="1">
        <v>435</v>
      </c>
      <c r="D289" s="1">
        <v>142</v>
      </c>
      <c r="E289">
        <v>220</v>
      </c>
      <c r="F289">
        <v>4700</v>
      </c>
      <c r="G289" t="s">
        <v>3</v>
      </c>
    </row>
    <row r="290" spans="1:7" x14ac:dyDescent="0.45">
      <c r="A290" t="s">
        <v>7</v>
      </c>
      <c r="B290" t="s">
        <v>4</v>
      </c>
      <c r="C290" s="1">
        <v>507</v>
      </c>
      <c r="D290" s="1">
        <v>150</v>
      </c>
      <c r="E290">
        <v>223</v>
      </c>
      <c r="F290">
        <v>5550</v>
      </c>
      <c r="G290" t="s">
        <v>2</v>
      </c>
    </row>
    <row r="291" spans="1:7" hidden="1" x14ac:dyDescent="0.45">
      <c r="A291" t="s">
        <v>7</v>
      </c>
      <c r="B291" t="s">
        <v>4</v>
      </c>
      <c r="C291" s="1">
        <v>477</v>
      </c>
      <c r="D291" s="1">
        <v>150</v>
      </c>
      <c r="E291">
        <v>216</v>
      </c>
      <c r="F291">
        <v>4750</v>
      </c>
      <c r="G291" t="s">
        <v>3</v>
      </c>
    </row>
    <row r="292" spans="1:7" x14ac:dyDescent="0.45">
      <c r="A292" t="s">
        <v>7</v>
      </c>
      <c r="B292" t="s">
        <v>4</v>
      </c>
      <c r="C292" s="1">
        <v>464</v>
      </c>
      <c r="D292" s="1">
        <v>156</v>
      </c>
      <c r="E292">
        <v>221</v>
      </c>
      <c r="F292">
        <v>5000</v>
      </c>
      <c r="G292" t="s">
        <v>2</v>
      </c>
    </row>
    <row r="293" spans="1:7" x14ac:dyDescent="0.45">
      <c r="A293" t="s">
        <v>7</v>
      </c>
      <c r="B293" t="s">
        <v>4</v>
      </c>
      <c r="C293" s="1">
        <v>482</v>
      </c>
      <c r="D293" s="1">
        <v>156</v>
      </c>
      <c r="E293">
        <v>221</v>
      </c>
      <c r="F293">
        <v>5100</v>
      </c>
      <c r="G293" t="s">
        <v>2</v>
      </c>
    </row>
    <row r="294" spans="1:7" hidden="1" x14ac:dyDescent="0.45">
      <c r="A294" t="s">
        <v>7</v>
      </c>
      <c r="B294" t="s">
        <v>4</v>
      </c>
      <c r="C294" s="1">
        <v>465</v>
      </c>
      <c r="D294" s="1">
        <v>148</v>
      </c>
      <c r="E294">
        <v>217</v>
      </c>
      <c r="F294">
        <v>5200</v>
      </c>
      <c r="G294" t="s">
        <v>3</v>
      </c>
    </row>
    <row r="295" spans="1:7" hidden="1" x14ac:dyDescent="0.45">
      <c r="A295" t="s">
        <v>7</v>
      </c>
      <c r="B295" t="s">
        <v>4</v>
      </c>
      <c r="C295" s="1">
        <v>464</v>
      </c>
      <c r="D295" s="1">
        <v>150</v>
      </c>
      <c r="E295">
        <v>216</v>
      </c>
      <c r="F295">
        <v>4700</v>
      </c>
      <c r="G295" t="s">
        <v>3</v>
      </c>
    </row>
    <row r="296" spans="1:7" x14ac:dyDescent="0.45">
      <c r="A296" t="s">
        <v>7</v>
      </c>
      <c r="B296" t="s">
        <v>4</v>
      </c>
      <c r="C296" s="1">
        <v>486</v>
      </c>
      <c r="D296" s="1">
        <v>160</v>
      </c>
      <c r="E296">
        <v>230</v>
      </c>
      <c r="F296">
        <v>5800</v>
      </c>
      <c r="G296" t="s">
        <v>2</v>
      </c>
    </row>
    <row r="297" spans="1:7" hidden="1" x14ac:dyDescent="0.45">
      <c r="A297" t="s">
        <v>7</v>
      </c>
      <c r="B297" t="s">
        <v>4</v>
      </c>
      <c r="C297" s="1">
        <v>475</v>
      </c>
      <c r="D297" s="1">
        <v>142</v>
      </c>
      <c r="E297">
        <v>209</v>
      </c>
      <c r="F297">
        <v>4600</v>
      </c>
      <c r="G297" t="s">
        <v>3</v>
      </c>
    </row>
    <row r="298" spans="1:7" x14ac:dyDescent="0.45">
      <c r="A298" t="s">
        <v>7</v>
      </c>
      <c r="B298" t="s">
        <v>4</v>
      </c>
      <c r="C298" s="1">
        <v>511</v>
      </c>
      <c r="D298" s="1">
        <v>163</v>
      </c>
      <c r="E298">
        <v>220</v>
      </c>
      <c r="F298">
        <v>6000</v>
      </c>
      <c r="G298" t="s">
        <v>2</v>
      </c>
    </row>
    <row r="299" spans="1:7" hidden="1" x14ac:dyDescent="0.45">
      <c r="A299" t="s">
        <v>7</v>
      </c>
      <c r="B299" t="s">
        <v>4</v>
      </c>
      <c r="C299" s="1">
        <v>452</v>
      </c>
      <c r="D299" s="1">
        <v>138</v>
      </c>
      <c r="E299">
        <v>215</v>
      </c>
      <c r="F299">
        <v>4750</v>
      </c>
      <c r="G299" t="s">
        <v>3</v>
      </c>
    </row>
    <row r="300" spans="1:7" x14ac:dyDescent="0.45">
      <c r="A300" t="s">
        <v>7</v>
      </c>
      <c r="B300" t="s">
        <v>4</v>
      </c>
      <c r="C300" s="1">
        <v>452</v>
      </c>
      <c r="D300" s="1">
        <v>164</v>
      </c>
      <c r="E300">
        <v>223</v>
      </c>
      <c r="F300">
        <v>5950</v>
      </c>
      <c r="G300" t="s">
        <v>2</v>
      </c>
    </row>
    <row r="301" spans="1:7" hidden="1" x14ac:dyDescent="0.45">
      <c r="A301" t="s">
        <v>7</v>
      </c>
      <c r="B301" t="s">
        <v>4</v>
      </c>
      <c r="C301" s="1">
        <v>491</v>
      </c>
      <c r="D301" s="1">
        <v>145</v>
      </c>
      <c r="E301">
        <v>212</v>
      </c>
      <c r="F301">
        <v>4625</v>
      </c>
      <c r="G301" t="s">
        <v>3</v>
      </c>
    </row>
    <row r="302" spans="1:7" x14ac:dyDescent="0.45">
      <c r="A302" t="s">
        <v>7</v>
      </c>
      <c r="B302" t="s">
        <v>4</v>
      </c>
      <c r="C302" s="1">
        <v>525</v>
      </c>
      <c r="D302" s="1">
        <v>156</v>
      </c>
      <c r="E302">
        <v>221</v>
      </c>
      <c r="F302">
        <v>5450</v>
      </c>
      <c r="G302" t="s">
        <v>2</v>
      </c>
    </row>
    <row r="303" spans="1:7" hidden="1" x14ac:dyDescent="0.45">
      <c r="A303" t="s">
        <v>7</v>
      </c>
      <c r="B303" t="s">
        <v>4</v>
      </c>
      <c r="C303" s="1">
        <v>474</v>
      </c>
      <c r="D303" s="1">
        <v>146</v>
      </c>
      <c r="E303">
        <v>212</v>
      </c>
      <c r="F303">
        <v>4725</v>
      </c>
      <c r="G303" t="s">
        <v>3</v>
      </c>
    </row>
    <row r="304" spans="1:7" x14ac:dyDescent="0.45">
      <c r="A304" t="s">
        <v>7</v>
      </c>
      <c r="B304" t="s">
        <v>4</v>
      </c>
      <c r="C304" s="1">
        <v>500</v>
      </c>
      <c r="D304" s="1">
        <v>159</v>
      </c>
      <c r="E304">
        <v>224</v>
      </c>
      <c r="F304">
        <v>5350</v>
      </c>
      <c r="G304" t="s">
        <v>2</v>
      </c>
    </row>
    <row r="305" spans="1:7" hidden="1" x14ac:dyDescent="0.45">
      <c r="A305" t="s">
        <v>7</v>
      </c>
      <c r="B305" t="s">
        <v>4</v>
      </c>
      <c r="C305" s="1">
        <v>449</v>
      </c>
      <c r="D305" s="1">
        <v>138</v>
      </c>
      <c r="E305">
        <v>212</v>
      </c>
      <c r="F305">
        <v>4750</v>
      </c>
      <c r="G305" t="s">
        <v>3</v>
      </c>
    </row>
    <row r="306" spans="1:7" x14ac:dyDescent="0.45">
      <c r="A306" t="s">
        <v>7</v>
      </c>
      <c r="B306" t="s">
        <v>4</v>
      </c>
      <c r="C306" s="1">
        <v>508</v>
      </c>
      <c r="D306" s="1">
        <v>173</v>
      </c>
      <c r="E306">
        <v>228</v>
      </c>
      <c r="F306">
        <v>5600</v>
      </c>
      <c r="G306" t="s">
        <v>2</v>
      </c>
    </row>
    <row r="307" spans="1:7" hidden="1" x14ac:dyDescent="0.45">
      <c r="A307" t="s">
        <v>7</v>
      </c>
      <c r="B307" t="s">
        <v>4</v>
      </c>
      <c r="C307" s="1">
        <v>434</v>
      </c>
      <c r="D307" s="1">
        <v>144</v>
      </c>
      <c r="E307">
        <v>218</v>
      </c>
      <c r="F307">
        <v>4600</v>
      </c>
      <c r="G307" t="s">
        <v>3</v>
      </c>
    </row>
    <row r="308" spans="1:7" x14ac:dyDescent="0.45">
      <c r="A308" t="s">
        <v>7</v>
      </c>
      <c r="B308" t="s">
        <v>4</v>
      </c>
      <c r="C308" s="1">
        <v>513</v>
      </c>
      <c r="D308" s="1">
        <v>142</v>
      </c>
      <c r="E308">
        <v>218</v>
      </c>
      <c r="F308">
        <v>5300</v>
      </c>
      <c r="G308" t="s">
        <v>2</v>
      </c>
    </row>
    <row r="309" spans="1:7" hidden="1" x14ac:dyDescent="0.45">
      <c r="A309" t="s">
        <v>7</v>
      </c>
      <c r="B309" t="s">
        <v>4</v>
      </c>
      <c r="C309" s="1">
        <v>475</v>
      </c>
      <c r="D309" s="1">
        <v>140</v>
      </c>
      <c r="E309">
        <v>212</v>
      </c>
      <c r="F309">
        <v>4875</v>
      </c>
      <c r="G309" t="s">
        <v>3</v>
      </c>
    </row>
    <row r="310" spans="1:7" x14ac:dyDescent="0.45">
      <c r="A310" t="s">
        <v>7</v>
      </c>
      <c r="B310" t="s">
        <v>4</v>
      </c>
      <c r="C310" s="1">
        <v>521</v>
      </c>
      <c r="D310" s="1">
        <v>170</v>
      </c>
      <c r="E310">
        <v>230</v>
      </c>
      <c r="F310">
        <v>5550</v>
      </c>
      <c r="G310" t="s">
        <v>2</v>
      </c>
    </row>
    <row r="311" spans="1:7" hidden="1" x14ac:dyDescent="0.45">
      <c r="A311" t="s">
        <v>7</v>
      </c>
      <c r="B311" t="s">
        <v>4</v>
      </c>
      <c r="C311" s="1">
        <v>475</v>
      </c>
      <c r="D311" s="1">
        <v>150</v>
      </c>
      <c r="E311">
        <v>218</v>
      </c>
      <c r="F311">
        <v>4950</v>
      </c>
      <c r="G311" t="s">
        <v>3</v>
      </c>
    </row>
    <row r="312" spans="1:7" x14ac:dyDescent="0.45">
      <c r="A312" t="s">
        <v>7</v>
      </c>
      <c r="B312" t="s">
        <v>4</v>
      </c>
      <c r="C312" s="1">
        <v>522</v>
      </c>
      <c r="D312" s="1">
        <v>171</v>
      </c>
      <c r="E312">
        <v>228</v>
      </c>
      <c r="F312">
        <v>5400</v>
      </c>
      <c r="G312" t="s">
        <v>2</v>
      </c>
    </row>
    <row r="313" spans="1:7" hidden="1" x14ac:dyDescent="0.45">
      <c r="A313" t="s">
        <v>7</v>
      </c>
      <c r="B313" t="s">
        <v>4</v>
      </c>
      <c r="C313" s="1">
        <v>455</v>
      </c>
      <c r="D313" s="1">
        <v>145</v>
      </c>
      <c r="E313">
        <v>212</v>
      </c>
      <c r="F313">
        <v>4750</v>
      </c>
      <c r="G313" t="s">
        <v>3</v>
      </c>
    </row>
    <row r="314" spans="1:7" x14ac:dyDescent="0.45">
      <c r="A314" t="s">
        <v>7</v>
      </c>
      <c r="B314" t="s">
        <v>4</v>
      </c>
      <c r="C314" s="1">
        <v>495</v>
      </c>
      <c r="D314" s="1">
        <v>161</v>
      </c>
      <c r="E314">
        <v>224</v>
      </c>
      <c r="F314">
        <v>5650</v>
      </c>
      <c r="G314" t="s">
        <v>2</v>
      </c>
    </row>
    <row r="315" spans="1:7" hidden="1" x14ac:dyDescent="0.45">
      <c r="A315" t="s">
        <v>7</v>
      </c>
      <c r="B315" t="s">
        <v>4</v>
      </c>
      <c r="C315" s="1">
        <v>445</v>
      </c>
      <c r="D315" s="1">
        <v>147</v>
      </c>
      <c r="E315">
        <v>214</v>
      </c>
      <c r="F315">
        <v>4850</v>
      </c>
      <c r="G315" t="s">
        <v>3</v>
      </c>
    </row>
    <row r="316" spans="1:7" x14ac:dyDescent="0.45">
      <c r="A316" t="s">
        <v>7</v>
      </c>
      <c r="B316" t="s">
        <v>4</v>
      </c>
      <c r="C316" s="1">
        <v>508</v>
      </c>
      <c r="D316" s="1">
        <v>157</v>
      </c>
      <c r="E316">
        <v>226</v>
      </c>
      <c r="F316">
        <v>5200</v>
      </c>
      <c r="G316" t="s">
        <v>2</v>
      </c>
    </row>
    <row r="317" spans="1:7" x14ac:dyDescent="0.45">
      <c r="A317" t="s">
        <v>7</v>
      </c>
      <c r="B317" t="s">
        <v>4</v>
      </c>
      <c r="C317" s="1">
        <v>494</v>
      </c>
      <c r="D317" s="1">
        <v>158</v>
      </c>
      <c r="E317">
        <v>216</v>
      </c>
      <c r="F317">
        <v>4925</v>
      </c>
      <c r="G317" t="s">
        <v>2</v>
      </c>
    </row>
    <row r="318" spans="1:7" hidden="1" x14ac:dyDescent="0.45">
      <c r="A318" t="s">
        <v>7</v>
      </c>
      <c r="B318" t="s">
        <v>4</v>
      </c>
      <c r="C318" s="1">
        <v>469</v>
      </c>
      <c r="D318" s="1">
        <v>146</v>
      </c>
      <c r="E318">
        <v>222</v>
      </c>
      <c r="F318">
        <v>4875</v>
      </c>
      <c r="G318" t="s">
        <v>3</v>
      </c>
    </row>
    <row r="319" spans="1:7" hidden="1" x14ac:dyDescent="0.45">
      <c r="A319" t="s">
        <v>7</v>
      </c>
      <c r="B319" t="s">
        <v>4</v>
      </c>
      <c r="C319" s="1">
        <v>484</v>
      </c>
      <c r="D319" s="1">
        <v>144</v>
      </c>
      <c r="E319">
        <v>203</v>
      </c>
      <c r="F319">
        <v>4625</v>
      </c>
      <c r="G319" t="s">
        <v>3</v>
      </c>
    </row>
    <row r="320" spans="1:7" x14ac:dyDescent="0.45">
      <c r="A320" t="s">
        <v>7</v>
      </c>
      <c r="B320" t="s">
        <v>4</v>
      </c>
      <c r="C320" s="1">
        <v>511</v>
      </c>
      <c r="D320" s="1">
        <v>165</v>
      </c>
      <c r="E320">
        <v>225</v>
      </c>
      <c r="F320">
        <v>5250</v>
      </c>
      <c r="G320" t="s">
        <v>2</v>
      </c>
    </row>
    <row r="321" spans="1:7" hidden="1" x14ac:dyDescent="0.45">
      <c r="A321" t="s">
        <v>7</v>
      </c>
      <c r="B321" t="s">
        <v>4</v>
      </c>
      <c r="C321" s="1">
        <v>485</v>
      </c>
      <c r="D321" s="1">
        <v>150</v>
      </c>
      <c r="E321">
        <v>219</v>
      </c>
      <c r="F321">
        <v>4850</v>
      </c>
      <c r="G321" t="s">
        <v>3</v>
      </c>
    </row>
    <row r="322" spans="1:7" x14ac:dyDescent="0.45">
      <c r="A322" t="s">
        <v>7</v>
      </c>
      <c r="B322" t="s">
        <v>4</v>
      </c>
      <c r="C322" s="1">
        <v>559</v>
      </c>
      <c r="D322" s="1">
        <v>170</v>
      </c>
      <c r="E322">
        <v>228</v>
      </c>
      <c r="F322">
        <v>5600</v>
      </c>
      <c r="G322" t="s">
        <v>2</v>
      </c>
    </row>
    <row r="323" spans="1:7" hidden="1" x14ac:dyDescent="0.45">
      <c r="A323" t="s">
        <v>7</v>
      </c>
      <c r="B323" t="s">
        <v>4</v>
      </c>
      <c r="C323" s="1">
        <v>472</v>
      </c>
      <c r="D323" s="1">
        <v>155</v>
      </c>
      <c r="E323">
        <v>215</v>
      </c>
      <c r="F323">
        <v>4975</v>
      </c>
      <c r="G323" t="s">
        <v>3</v>
      </c>
    </row>
    <row r="324" spans="1:7" x14ac:dyDescent="0.45">
      <c r="A324" t="s">
        <v>7</v>
      </c>
      <c r="B324" t="s">
        <v>4</v>
      </c>
      <c r="C324" s="1">
        <v>491</v>
      </c>
      <c r="D324" s="1">
        <v>150</v>
      </c>
      <c r="E324">
        <v>228</v>
      </c>
      <c r="F324">
        <v>5500</v>
      </c>
      <c r="G324" t="s">
        <v>2</v>
      </c>
    </row>
    <row r="325" spans="1:7" x14ac:dyDescent="0.45">
      <c r="A325" t="s">
        <v>7</v>
      </c>
      <c r="B325" t="s">
        <v>4</v>
      </c>
      <c r="C325" s="1">
        <v>473</v>
      </c>
      <c r="D325" s="1">
        <v>138</v>
      </c>
      <c r="E325">
        <v>216</v>
      </c>
      <c r="F325">
        <v>4725</v>
      </c>
      <c r="G325" t="s">
        <v>2</v>
      </c>
    </row>
    <row r="326" spans="1:7" x14ac:dyDescent="0.45">
      <c r="A326" t="s">
        <v>7</v>
      </c>
      <c r="B326" t="s">
        <v>4</v>
      </c>
      <c r="C326" s="1">
        <v>468</v>
      </c>
      <c r="D326" s="1">
        <v>161</v>
      </c>
      <c r="E326">
        <v>215</v>
      </c>
      <c r="F326">
        <v>5500</v>
      </c>
      <c r="G326" t="s">
        <v>2</v>
      </c>
    </row>
    <row r="327" spans="1:7" hidden="1" x14ac:dyDescent="0.45">
      <c r="A327" t="s">
        <v>7</v>
      </c>
      <c r="B327" t="s">
        <v>4</v>
      </c>
      <c r="C327" s="1">
        <v>417</v>
      </c>
      <c r="D327" s="1">
        <v>147</v>
      </c>
      <c r="E327">
        <v>210</v>
      </c>
      <c r="F327">
        <v>4700</v>
      </c>
      <c r="G327" t="s">
        <v>3</v>
      </c>
    </row>
    <row r="328" spans="1:7" x14ac:dyDescent="0.45">
      <c r="A328" t="s">
        <v>7</v>
      </c>
      <c r="B328" t="s">
        <v>4</v>
      </c>
      <c r="C328" s="1">
        <v>534</v>
      </c>
      <c r="D328" s="1">
        <v>158</v>
      </c>
      <c r="E328">
        <v>219</v>
      </c>
      <c r="F328">
        <v>5500</v>
      </c>
      <c r="G328" t="s">
        <v>2</v>
      </c>
    </row>
    <row r="329" spans="1:7" hidden="1" x14ac:dyDescent="0.45">
      <c r="A329" t="s">
        <v>7</v>
      </c>
      <c r="B329" t="s">
        <v>4</v>
      </c>
      <c r="C329" s="1">
        <v>433</v>
      </c>
      <c r="D329" s="1">
        <v>140</v>
      </c>
      <c r="E329">
        <v>208</v>
      </c>
      <c r="F329">
        <v>4575</v>
      </c>
      <c r="G329" t="s">
        <v>3</v>
      </c>
    </row>
    <row r="330" spans="1:7" x14ac:dyDescent="0.45">
      <c r="A330" t="s">
        <v>7</v>
      </c>
      <c r="B330" t="s">
        <v>4</v>
      </c>
      <c r="C330" s="1">
        <v>481</v>
      </c>
      <c r="D330" s="1">
        <v>151</v>
      </c>
      <c r="E330">
        <v>209</v>
      </c>
      <c r="F330">
        <v>5500</v>
      </c>
      <c r="G330" t="s">
        <v>2</v>
      </c>
    </row>
    <row r="331" spans="1:7" hidden="1" x14ac:dyDescent="0.45">
      <c r="A331" t="s">
        <v>7</v>
      </c>
      <c r="B331" t="s">
        <v>4</v>
      </c>
      <c r="C331" s="1">
        <v>505</v>
      </c>
      <c r="D331" s="1">
        <v>152</v>
      </c>
      <c r="E331">
        <v>216</v>
      </c>
      <c r="F331">
        <v>5000</v>
      </c>
      <c r="G331" t="s">
        <v>3</v>
      </c>
    </row>
    <row r="332" spans="1:7" x14ac:dyDescent="0.45">
      <c r="A332" t="s">
        <v>7</v>
      </c>
      <c r="B332" t="s">
        <v>4</v>
      </c>
      <c r="C332" s="1">
        <v>498</v>
      </c>
      <c r="D332" s="1">
        <v>159</v>
      </c>
      <c r="E332">
        <v>229</v>
      </c>
      <c r="F332">
        <v>5950</v>
      </c>
      <c r="G332" t="s">
        <v>2</v>
      </c>
    </row>
    <row r="333" spans="1:7" hidden="1" x14ac:dyDescent="0.45">
      <c r="A333" t="s">
        <v>7</v>
      </c>
      <c r="B333" t="s">
        <v>4</v>
      </c>
      <c r="C333" s="1">
        <v>435</v>
      </c>
      <c r="D333" s="1">
        <v>152</v>
      </c>
      <c r="E333">
        <v>213</v>
      </c>
      <c r="F333">
        <v>4650</v>
      </c>
      <c r="G333" t="s">
        <v>3</v>
      </c>
    </row>
    <row r="334" spans="1:7" x14ac:dyDescent="0.45">
      <c r="A334" t="s">
        <v>7</v>
      </c>
      <c r="B334" t="s">
        <v>4</v>
      </c>
      <c r="C334" s="1">
        <v>515</v>
      </c>
      <c r="D334" s="1">
        <v>163</v>
      </c>
      <c r="E334">
        <v>230</v>
      </c>
      <c r="F334">
        <v>5500</v>
      </c>
      <c r="G334" t="s">
        <v>2</v>
      </c>
    </row>
    <row r="335" spans="1:7" hidden="1" x14ac:dyDescent="0.45">
      <c r="A335" t="s">
        <v>7</v>
      </c>
      <c r="B335" t="s">
        <v>4</v>
      </c>
      <c r="C335" s="1">
        <v>462</v>
      </c>
      <c r="D335" s="1">
        <v>141</v>
      </c>
      <c r="E335">
        <v>217</v>
      </c>
      <c r="F335">
        <v>4375</v>
      </c>
      <c r="G335" t="s">
        <v>3</v>
      </c>
    </row>
    <row r="336" spans="1:7" x14ac:dyDescent="0.45">
      <c r="A336" t="s">
        <v>7</v>
      </c>
      <c r="B336" t="s">
        <v>4</v>
      </c>
      <c r="C336" s="1">
        <v>551</v>
      </c>
      <c r="D336" s="1">
        <v>160</v>
      </c>
      <c r="E336">
        <v>230</v>
      </c>
      <c r="F336">
        <v>5850</v>
      </c>
      <c r="G336" t="s">
        <v>2</v>
      </c>
    </row>
    <row r="337" spans="1:7" x14ac:dyDescent="0.45">
      <c r="A337" t="s">
        <v>7</v>
      </c>
      <c r="B337" t="s">
        <v>4</v>
      </c>
      <c r="C337" s="1">
        <v>445</v>
      </c>
      <c r="D337" s="1">
        <v>157</v>
      </c>
      <c r="E337">
        <v>217</v>
      </c>
      <c r="F337">
        <v>4875</v>
      </c>
      <c r="G337" t="s">
        <v>2</v>
      </c>
    </row>
    <row r="338" spans="1:7" x14ac:dyDescent="0.45">
      <c r="A338" t="s">
        <v>7</v>
      </c>
      <c r="B338" t="s">
        <v>4</v>
      </c>
      <c r="C338" s="1">
        <v>488</v>
      </c>
      <c r="D338" s="1">
        <v>162</v>
      </c>
      <c r="E338">
        <v>222</v>
      </c>
      <c r="F338">
        <v>6000</v>
      </c>
      <c r="G338" t="s">
        <v>2</v>
      </c>
    </row>
    <row r="339" spans="1:7" hidden="1" x14ac:dyDescent="0.45">
      <c r="A339" t="s">
        <v>7</v>
      </c>
      <c r="B339" t="s">
        <v>4</v>
      </c>
      <c r="C339" s="1">
        <v>472</v>
      </c>
      <c r="D339" s="1">
        <v>137</v>
      </c>
      <c r="E339">
        <v>214</v>
      </c>
      <c r="F339">
        <v>4925</v>
      </c>
      <c r="G339" t="s">
        <v>3</v>
      </c>
    </row>
    <row r="340" spans="1:7" hidden="1" x14ac:dyDescent="0.45">
      <c r="A340" t="s">
        <v>7</v>
      </c>
      <c r="B340" t="s">
        <v>4</v>
      </c>
      <c r="C340" s="1">
        <v>468</v>
      </c>
      <c r="D340" s="1">
        <v>143</v>
      </c>
      <c r="E340">
        <v>215</v>
      </c>
      <c r="F340">
        <v>4850</v>
      </c>
      <c r="G340" t="s">
        <v>3</v>
      </c>
    </row>
    <row r="341" spans="1:7" x14ac:dyDescent="0.45">
      <c r="A341" t="s">
        <v>7</v>
      </c>
      <c r="B341" t="s">
        <v>4</v>
      </c>
      <c r="C341" s="1">
        <v>504</v>
      </c>
      <c r="D341" s="1">
        <v>157</v>
      </c>
      <c r="E341">
        <v>222</v>
      </c>
      <c r="F341">
        <v>5750</v>
      </c>
      <c r="G341" t="s">
        <v>2</v>
      </c>
    </row>
    <row r="342" spans="1:7" hidden="1" x14ac:dyDescent="0.45">
      <c r="A342" t="s">
        <v>7</v>
      </c>
      <c r="B342" t="s">
        <v>4</v>
      </c>
      <c r="C342" s="1">
        <v>452</v>
      </c>
      <c r="D342" s="1">
        <v>148</v>
      </c>
      <c r="E342">
        <v>212</v>
      </c>
      <c r="F342">
        <v>5200</v>
      </c>
      <c r="G342" t="s">
        <v>3</v>
      </c>
    </row>
    <row r="343" spans="1:7" x14ac:dyDescent="0.45">
      <c r="A343" t="s">
        <v>7</v>
      </c>
      <c r="B343" t="s">
        <v>4</v>
      </c>
      <c r="C343" s="1">
        <v>499</v>
      </c>
      <c r="D343" s="1">
        <v>161</v>
      </c>
      <c r="E343">
        <v>213</v>
      </c>
      <c r="F343">
        <v>5400</v>
      </c>
      <c r="G343" t="s">
        <v>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93C2-5B79-462D-98CC-B6CB9FACA5DD}">
  <dimension ref="A1:N343"/>
  <sheetViews>
    <sheetView workbookViewId="0">
      <selection activeCell="K2" sqref="K2"/>
    </sheetView>
  </sheetViews>
  <sheetFormatPr defaultColWidth="10.86328125" defaultRowHeight="14.25" x14ac:dyDescent="0.45"/>
  <cols>
    <col min="3" max="3" width="18.86328125" bestFit="1" customWidth="1"/>
    <col min="4" max="4" width="18.3984375" bestFit="1" customWidth="1"/>
    <col min="5" max="5" width="18.265625" bestFit="1" customWidth="1"/>
    <col min="6" max="6" width="12.86328125" bestFit="1" customWidth="1"/>
    <col min="10" max="10" width="14.86328125" customWidth="1"/>
    <col min="11" max="11" width="18.86328125" bestFit="1" customWidth="1"/>
    <col min="12" max="12" width="18.3984375" bestFit="1" customWidth="1"/>
    <col min="13" max="13" width="18.265625" bestFit="1" customWidth="1"/>
    <col min="14" max="14" width="12.86328125" bestFit="1" customWidth="1"/>
  </cols>
  <sheetData>
    <row r="1" spans="1:14" x14ac:dyDescent="0.45">
      <c r="A1" t="s">
        <v>10</v>
      </c>
      <c r="B1" t="s">
        <v>11</v>
      </c>
      <c r="C1" t="s">
        <v>12</v>
      </c>
      <c r="D1" t="s">
        <v>13</v>
      </c>
      <c r="E1" t="s">
        <v>16</v>
      </c>
      <c r="F1" t="s">
        <v>14</v>
      </c>
      <c r="G1" t="s">
        <v>15</v>
      </c>
      <c r="K1" t="s">
        <v>12</v>
      </c>
      <c r="L1" t="s">
        <v>13</v>
      </c>
      <c r="M1" t="s">
        <v>16</v>
      </c>
      <c r="N1" t="s">
        <v>14</v>
      </c>
    </row>
    <row r="2" spans="1:14" x14ac:dyDescent="0.45">
      <c r="A2" t="s">
        <v>0</v>
      </c>
      <c r="B2" t="s">
        <v>1</v>
      </c>
      <c r="C2" s="1">
        <v>391</v>
      </c>
      <c r="D2" s="1">
        <v>187</v>
      </c>
      <c r="E2">
        <v>181</v>
      </c>
      <c r="F2">
        <v>3750</v>
      </c>
      <c r="G2" t="s">
        <v>2</v>
      </c>
      <c r="J2" s="2" t="s">
        <v>17</v>
      </c>
      <c r="K2" s="6">
        <f>AVERAGE(culmen_length_mm)</f>
        <v>439.21929824561403</v>
      </c>
      <c r="L2" s="6"/>
      <c r="M2" s="6"/>
      <c r="N2" s="6"/>
    </row>
    <row r="3" spans="1:14" x14ac:dyDescent="0.45">
      <c r="A3" t="s">
        <v>0</v>
      </c>
      <c r="B3" t="s">
        <v>1</v>
      </c>
      <c r="C3" s="1">
        <v>395</v>
      </c>
      <c r="D3" s="1">
        <v>174</v>
      </c>
      <c r="E3">
        <v>186</v>
      </c>
      <c r="F3">
        <v>3800</v>
      </c>
      <c r="G3" t="s">
        <v>3</v>
      </c>
      <c r="J3" s="2" t="s">
        <v>8</v>
      </c>
      <c r="K3" s="6"/>
      <c r="L3" s="6"/>
      <c r="M3" s="6"/>
      <c r="N3" s="6"/>
    </row>
    <row r="4" spans="1:14" x14ac:dyDescent="0.45">
      <c r="A4" t="s">
        <v>0</v>
      </c>
      <c r="B4" t="s">
        <v>1</v>
      </c>
      <c r="C4" s="1">
        <v>403</v>
      </c>
      <c r="D4" s="1">
        <v>180</v>
      </c>
      <c r="E4">
        <v>195</v>
      </c>
      <c r="F4">
        <v>3250</v>
      </c>
      <c r="G4" t="s">
        <v>3</v>
      </c>
      <c r="J4" s="2" t="s">
        <v>9</v>
      </c>
    </row>
    <row r="5" spans="1:14" x14ac:dyDescent="0.45">
      <c r="A5" t="s">
        <v>0</v>
      </c>
      <c r="B5" t="s">
        <v>1</v>
      </c>
      <c r="C5" s="1">
        <v>367</v>
      </c>
      <c r="D5" s="1">
        <v>193</v>
      </c>
      <c r="E5">
        <v>193</v>
      </c>
      <c r="F5">
        <v>3450</v>
      </c>
      <c r="G5" t="s">
        <v>3</v>
      </c>
      <c r="J5" s="2" t="s">
        <v>18</v>
      </c>
    </row>
    <row r="6" spans="1:14" x14ac:dyDescent="0.45">
      <c r="A6" t="s">
        <v>0</v>
      </c>
      <c r="B6" t="s">
        <v>1</v>
      </c>
      <c r="C6" s="1">
        <v>393</v>
      </c>
      <c r="D6" s="1">
        <v>206</v>
      </c>
      <c r="E6">
        <v>190</v>
      </c>
      <c r="F6">
        <v>3650</v>
      </c>
      <c r="G6" t="s">
        <v>2</v>
      </c>
      <c r="J6" s="2" t="s">
        <v>37</v>
      </c>
    </row>
    <row r="7" spans="1:14" x14ac:dyDescent="0.45">
      <c r="A7" t="s">
        <v>0</v>
      </c>
      <c r="B7" t="s">
        <v>1</v>
      </c>
      <c r="C7" s="1">
        <v>389</v>
      </c>
      <c r="D7" s="1">
        <v>178</v>
      </c>
      <c r="E7">
        <v>181</v>
      </c>
      <c r="F7">
        <v>3625</v>
      </c>
      <c r="G7" t="s">
        <v>3</v>
      </c>
      <c r="J7" s="2" t="s">
        <v>38</v>
      </c>
    </row>
    <row r="8" spans="1:14" x14ac:dyDescent="0.45">
      <c r="A8" t="s">
        <v>0</v>
      </c>
      <c r="B8" t="s">
        <v>1</v>
      </c>
      <c r="C8" s="1">
        <v>392</v>
      </c>
      <c r="D8" s="1">
        <v>196</v>
      </c>
      <c r="E8">
        <v>195</v>
      </c>
      <c r="F8">
        <v>4675</v>
      </c>
      <c r="G8" t="s">
        <v>2</v>
      </c>
      <c r="J8" s="2" t="s">
        <v>19</v>
      </c>
    </row>
    <row r="9" spans="1:14" x14ac:dyDescent="0.45">
      <c r="A9" t="s">
        <v>0</v>
      </c>
      <c r="B9" t="s">
        <v>1</v>
      </c>
      <c r="C9" s="1">
        <v>341</v>
      </c>
      <c r="D9" s="1">
        <v>181</v>
      </c>
      <c r="E9">
        <v>193</v>
      </c>
      <c r="F9">
        <v>3475</v>
      </c>
      <c r="G9" t="s">
        <v>2</v>
      </c>
      <c r="J9" s="2" t="s">
        <v>20</v>
      </c>
    </row>
    <row r="10" spans="1:14" x14ac:dyDescent="0.45">
      <c r="A10" t="s">
        <v>0</v>
      </c>
      <c r="B10" t="s">
        <v>1</v>
      </c>
      <c r="C10" s="1">
        <v>420</v>
      </c>
      <c r="D10" s="1">
        <v>202</v>
      </c>
      <c r="E10">
        <v>190</v>
      </c>
      <c r="F10">
        <v>4250</v>
      </c>
      <c r="G10" t="s">
        <v>2</v>
      </c>
      <c r="J10" s="2" t="s">
        <v>21</v>
      </c>
    </row>
    <row r="11" spans="1:14" x14ac:dyDescent="0.45">
      <c r="A11" t="s">
        <v>0</v>
      </c>
      <c r="B11" t="s">
        <v>1</v>
      </c>
      <c r="C11" s="1">
        <v>378</v>
      </c>
      <c r="D11" s="1">
        <v>171</v>
      </c>
      <c r="E11">
        <v>186</v>
      </c>
      <c r="F11">
        <v>3300</v>
      </c>
      <c r="G11" t="s">
        <v>2</v>
      </c>
      <c r="J11" s="2" t="s">
        <v>22</v>
      </c>
    </row>
    <row r="12" spans="1:14" x14ac:dyDescent="0.45">
      <c r="A12" t="s">
        <v>0</v>
      </c>
      <c r="B12" t="s">
        <v>1</v>
      </c>
      <c r="C12" s="1">
        <v>378</v>
      </c>
      <c r="D12" s="1">
        <v>173</v>
      </c>
      <c r="E12">
        <v>180</v>
      </c>
      <c r="F12">
        <v>3700</v>
      </c>
      <c r="G12" t="s">
        <v>2</v>
      </c>
      <c r="J12" s="2" t="s">
        <v>23</v>
      </c>
    </row>
    <row r="13" spans="1:14" x14ac:dyDescent="0.45">
      <c r="A13" t="s">
        <v>0</v>
      </c>
      <c r="B13" t="s">
        <v>1</v>
      </c>
      <c r="C13" s="1">
        <v>411</v>
      </c>
      <c r="D13" s="1">
        <v>176</v>
      </c>
      <c r="E13">
        <v>182</v>
      </c>
      <c r="F13">
        <v>3200</v>
      </c>
      <c r="G13" t="s">
        <v>3</v>
      </c>
    </row>
    <row r="14" spans="1:14" x14ac:dyDescent="0.45">
      <c r="A14" t="s">
        <v>0</v>
      </c>
      <c r="B14" t="s">
        <v>1</v>
      </c>
      <c r="C14" s="1">
        <v>386</v>
      </c>
      <c r="D14" s="1">
        <v>212</v>
      </c>
      <c r="E14">
        <v>191</v>
      </c>
      <c r="F14">
        <v>3800</v>
      </c>
      <c r="G14" t="s">
        <v>2</v>
      </c>
    </row>
    <row r="15" spans="1:14" x14ac:dyDescent="0.45">
      <c r="A15" t="s">
        <v>0</v>
      </c>
      <c r="B15" t="s">
        <v>1</v>
      </c>
      <c r="C15" s="1">
        <v>346</v>
      </c>
      <c r="D15" s="1">
        <v>211</v>
      </c>
      <c r="E15">
        <v>198</v>
      </c>
      <c r="F15">
        <v>4400</v>
      </c>
      <c r="G15" t="s">
        <v>2</v>
      </c>
    </row>
    <row r="16" spans="1:14" x14ac:dyDescent="0.45">
      <c r="A16" t="s">
        <v>0</v>
      </c>
      <c r="B16" t="s">
        <v>1</v>
      </c>
      <c r="C16" s="1">
        <v>366</v>
      </c>
      <c r="D16" s="1">
        <v>178</v>
      </c>
      <c r="E16">
        <v>185</v>
      </c>
      <c r="F16">
        <v>3700</v>
      </c>
      <c r="G16" t="s">
        <v>3</v>
      </c>
    </row>
    <row r="17" spans="1:7" x14ac:dyDescent="0.45">
      <c r="A17" t="s">
        <v>0</v>
      </c>
      <c r="B17" t="s">
        <v>1</v>
      </c>
      <c r="C17" s="1">
        <v>387</v>
      </c>
      <c r="D17" s="1">
        <v>190</v>
      </c>
      <c r="E17">
        <v>195</v>
      </c>
      <c r="F17">
        <v>3450</v>
      </c>
      <c r="G17" t="s">
        <v>3</v>
      </c>
    </row>
    <row r="18" spans="1:7" x14ac:dyDescent="0.45">
      <c r="A18" t="s">
        <v>0</v>
      </c>
      <c r="B18" t="s">
        <v>1</v>
      </c>
      <c r="C18" s="1">
        <v>425</v>
      </c>
      <c r="D18" s="1">
        <v>207</v>
      </c>
      <c r="E18">
        <v>197</v>
      </c>
      <c r="F18">
        <v>4500</v>
      </c>
      <c r="G18" t="s">
        <v>2</v>
      </c>
    </row>
    <row r="19" spans="1:7" x14ac:dyDescent="0.45">
      <c r="A19" t="s">
        <v>0</v>
      </c>
      <c r="B19" t="s">
        <v>1</v>
      </c>
      <c r="C19" s="1">
        <v>344</v>
      </c>
      <c r="D19" s="1">
        <v>184</v>
      </c>
      <c r="E19">
        <v>184</v>
      </c>
      <c r="F19">
        <v>3325</v>
      </c>
      <c r="G19" t="s">
        <v>3</v>
      </c>
    </row>
    <row r="20" spans="1:7" x14ac:dyDescent="0.45">
      <c r="A20" t="s">
        <v>0</v>
      </c>
      <c r="B20" t="s">
        <v>1</v>
      </c>
      <c r="C20" s="1">
        <v>460</v>
      </c>
      <c r="D20" s="1">
        <v>215</v>
      </c>
      <c r="E20">
        <v>194</v>
      </c>
      <c r="F20">
        <v>4200</v>
      </c>
      <c r="G20" t="s">
        <v>2</v>
      </c>
    </row>
    <row r="21" spans="1:7" x14ac:dyDescent="0.45">
      <c r="A21" t="s">
        <v>0</v>
      </c>
      <c r="B21" t="s">
        <v>4</v>
      </c>
      <c r="C21" s="1">
        <v>378</v>
      </c>
      <c r="D21" s="1">
        <v>183</v>
      </c>
      <c r="E21">
        <v>174</v>
      </c>
      <c r="F21">
        <v>3400</v>
      </c>
      <c r="G21" t="s">
        <v>3</v>
      </c>
    </row>
    <row r="22" spans="1:7" x14ac:dyDescent="0.45">
      <c r="A22" t="s">
        <v>0</v>
      </c>
      <c r="B22" t="s">
        <v>4</v>
      </c>
      <c r="C22" s="1">
        <v>377</v>
      </c>
      <c r="D22" s="1">
        <v>187</v>
      </c>
      <c r="E22">
        <v>180</v>
      </c>
      <c r="F22">
        <v>3600</v>
      </c>
      <c r="G22" t="s">
        <v>2</v>
      </c>
    </row>
    <row r="23" spans="1:7" x14ac:dyDescent="0.45">
      <c r="A23" t="s">
        <v>0</v>
      </c>
      <c r="B23" t="s">
        <v>4</v>
      </c>
      <c r="C23" s="1">
        <v>359</v>
      </c>
      <c r="D23" s="1">
        <v>192</v>
      </c>
      <c r="E23">
        <v>189</v>
      </c>
      <c r="F23">
        <v>3800</v>
      </c>
      <c r="G23" t="s">
        <v>3</v>
      </c>
    </row>
    <row r="24" spans="1:7" x14ac:dyDescent="0.45">
      <c r="A24" t="s">
        <v>0</v>
      </c>
      <c r="B24" t="s">
        <v>4</v>
      </c>
      <c r="C24" s="1">
        <v>382</v>
      </c>
      <c r="D24" s="1">
        <v>181</v>
      </c>
      <c r="E24">
        <v>185</v>
      </c>
      <c r="F24">
        <v>3950</v>
      </c>
      <c r="G24" t="s">
        <v>2</v>
      </c>
    </row>
    <row r="25" spans="1:7" x14ac:dyDescent="0.45">
      <c r="A25" t="s">
        <v>0</v>
      </c>
      <c r="B25" t="s">
        <v>4</v>
      </c>
      <c r="C25" s="1">
        <v>388</v>
      </c>
      <c r="D25" s="1">
        <v>172</v>
      </c>
      <c r="E25">
        <v>180</v>
      </c>
      <c r="F25">
        <v>3800</v>
      </c>
      <c r="G25" t="s">
        <v>2</v>
      </c>
    </row>
    <row r="26" spans="1:7" x14ac:dyDescent="0.45">
      <c r="A26" t="s">
        <v>0</v>
      </c>
      <c r="B26" t="s">
        <v>4</v>
      </c>
      <c r="C26" s="1">
        <v>353</v>
      </c>
      <c r="D26" s="1">
        <v>189</v>
      </c>
      <c r="E26">
        <v>187</v>
      </c>
      <c r="F26">
        <v>3800</v>
      </c>
      <c r="G26" t="s">
        <v>3</v>
      </c>
    </row>
    <row r="27" spans="1:7" x14ac:dyDescent="0.45">
      <c r="A27" t="s">
        <v>0</v>
      </c>
      <c r="B27" t="s">
        <v>4</v>
      </c>
      <c r="C27" s="1">
        <v>406</v>
      </c>
      <c r="D27" s="1">
        <v>186</v>
      </c>
      <c r="E27">
        <v>183</v>
      </c>
      <c r="F27">
        <v>3550</v>
      </c>
      <c r="G27" t="s">
        <v>2</v>
      </c>
    </row>
    <row r="28" spans="1:7" x14ac:dyDescent="0.45">
      <c r="A28" t="s">
        <v>0</v>
      </c>
      <c r="B28" t="s">
        <v>4</v>
      </c>
      <c r="C28" s="1">
        <v>405</v>
      </c>
      <c r="D28" s="1">
        <v>179</v>
      </c>
      <c r="E28">
        <v>187</v>
      </c>
      <c r="F28">
        <v>3200</v>
      </c>
      <c r="G28" t="s">
        <v>3</v>
      </c>
    </row>
    <row r="29" spans="1:7" x14ac:dyDescent="0.45">
      <c r="A29" t="s">
        <v>0</v>
      </c>
      <c r="B29" t="s">
        <v>4</v>
      </c>
      <c r="C29" s="1">
        <v>379</v>
      </c>
      <c r="D29" s="1">
        <v>186</v>
      </c>
      <c r="E29">
        <v>172</v>
      </c>
      <c r="F29">
        <v>3150</v>
      </c>
      <c r="G29" t="s">
        <v>3</v>
      </c>
    </row>
    <row r="30" spans="1:7" x14ac:dyDescent="0.45">
      <c r="A30" t="s">
        <v>0</v>
      </c>
      <c r="B30" t="s">
        <v>4</v>
      </c>
      <c r="C30" s="1">
        <v>405</v>
      </c>
      <c r="D30" s="1">
        <v>189</v>
      </c>
      <c r="E30">
        <v>180</v>
      </c>
      <c r="F30">
        <v>3950</v>
      </c>
      <c r="G30" t="s">
        <v>2</v>
      </c>
    </row>
    <row r="31" spans="1:7" x14ac:dyDescent="0.45">
      <c r="A31" t="s">
        <v>0</v>
      </c>
      <c r="B31" t="s">
        <v>5</v>
      </c>
      <c r="C31" s="1">
        <v>395</v>
      </c>
      <c r="D31" s="1">
        <v>167</v>
      </c>
      <c r="E31">
        <v>178</v>
      </c>
      <c r="F31">
        <v>3250</v>
      </c>
      <c r="G31" t="s">
        <v>3</v>
      </c>
    </row>
    <row r="32" spans="1:7" x14ac:dyDescent="0.45">
      <c r="A32" t="s">
        <v>0</v>
      </c>
      <c r="B32" t="s">
        <v>5</v>
      </c>
      <c r="C32" s="1">
        <v>372</v>
      </c>
      <c r="D32" s="1">
        <v>181</v>
      </c>
      <c r="E32">
        <v>178</v>
      </c>
      <c r="F32">
        <v>3900</v>
      </c>
      <c r="G32" t="s">
        <v>2</v>
      </c>
    </row>
    <row r="33" spans="1:7" x14ac:dyDescent="0.45">
      <c r="A33" t="s">
        <v>0</v>
      </c>
      <c r="B33" t="s">
        <v>5</v>
      </c>
      <c r="C33" s="1">
        <v>395</v>
      </c>
      <c r="D33" s="1">
        <v>178</v>
      </c>
      <c r="E33">
        <v>188</v>
      </c>
      <c r="F33">
        <v>3300</v>
      </c>
      <c r="G33" t="s">
        <v>3</v>
      </c>
    </row>
    <row r="34" spans="1:7" x14ac:dyDescent="0.45">
      <c r="A34" t="s">
        <v>0</v>
      </c>
      <c r="B34" t="s">
        <v>5</v>
      </c>
      <c r="C34" s="1">
        <v>409</v>
      </c>
      <c r="D34" s="1">
        <v>189</v>
      </c>
      <c r="E34">
        <v>184</v>
      </c>
      <c r="F34">
        <v>3900</v>
      </c>
      <c r="G34" t="s">
        <v>2</v>
      </c>
    </row>
    <row r="35" spans="1:7" x14ac:dyDescent="0.45">
      <c r="A35" t="s">
        <v>0</v>
      </c>
      <c r="B35" t="s">
        <v>5</v>
      </c>
      <c r="C35" s="1">
        <v>364</v>
      </c>
      <c r="D35" s="1">
        <v>170</v>
      </c>
      <c r="E35">
        <v>195</v>
      </c>
      <c r="F35">
        <v>3325</v>
      </c>
      <c r="G35" t="s">
        <v>3</v>
      </c>
    </row>
    <row r="36" spans="1:7" x14ac:dyDescent="0.45">
      <c r="A36" t="s">
        <v>0</v>
      </c>
      <c r="B36" t="s">
        <v>5</v>
      </c>
      <c r="C36" s="1">
        <v>392</v>
      </c>
      <c r="D36" s="1">
        <v>211</v>
      </c>
      <c r="E36">
        <v>196</v>
      </c>
      <c r="F36">
        <v>4150</v>
      </c>
      <c r="G36" t="s">
        <v>2</v>
      </c>
    </row>
    <row r="37" spans="1:7" x14ac:dyDescent="0.45">
      <c r="A37" t="s">
        <v>0</v>
      </c>
      <c r="B37" t="s">
        <v>5</v>
      </c>
      <c r="C37" s="1">
        <v>388</v>
      </c>
      <c r="D37" s="1">
        <v>200</v>
      </c>
      <c r="E37">
        <v>190</v>
      </c>
      <c r="F37">
        <v>3950</v>
      </c>
      <c r="G37" t="s">
        <v>2</v>
      </c>
    </row>
    <row r="38" spans="1:7" x14ac:dyDescent="0.45">
      <c r="A38" t="s">
        <v>0</v>
      </c>
      <c r="B38" t="s">
        <v>5</v>
      </c>
      <c r="C38" s="1">
        <v>422</v>
      </c>
      <c r="D38" s="1">
        <v>185</v>
      </c>
      <c r="E38">
        <v>180</v>
      </c>
      <c r="F38">
        <v>3550</v>
      </c>
      <c r="G38" t="s">
        <v>3</v>
      </c>
    </row>
    <row r="39" spans="1:7" x14ac:dyDescent="0.45">
      <c r="A39" t="s">
        <v>0</v>
      </c>
      <c r="B39" t="s">
        <v>5</v>
      </c>
      <c r="C39" s="1">
        <v>376</v>
      </c>
      <c r="D39" s="1">
        <v>193</v>
      </c>
      <c r="E39">
        <v>181</v>
      </c>
      <c r="F39">
        <v>3300</v>
      </c>
      <c r="G39" t="s">
        <v>3</v>
      </c>
    </row>
    <row r="40" spans="1:7" x14ac:dyDescent="0.45">
      <c r="A40" t="s">
        <v>0</v>
      </c>
      <c r="B40" t="s">
        <v>5</v>
      </c>
      <c r="C40" s="1">
        <v>398</v>
      </c>
      <c r="D40" s="1">
        <v>191</v>
      </c>
      <c r="E40">
        <v>184</v>
      </c>
      <c r="F40">
        <v>4650</v>
      </c>
      <c r="G40" t="s">
        <v>2</v>
      </c>
    </row>
    <row r="41" spans="1:7" x14ac:dyDescent="0.45">
      <c r="A41" t="s">
        <v>0</v>
      </c>
      <c r="B41" t="s">
        <v>5</v>
      </c>
      <c r="C41" s="1">
        <v>365</v>
      </c>
      <c r="D41" s="1">
        <v>180</v>
      </c>
      <c r="E41">
        <v>182</v>
      </c>
      <c r="F41">
        <v>3150</v>
      </c>
      <c r="G41" t="s">
        <v>3</v>
      </c>
    </row>
    <row r="42" spans="1:7" x14ac:dyDescent="0.45">
      <c r="A42" t="s">
        <v>0</v>
      </c>
      <c r="B42" t="s">
        <v>5</v>
      </c>
      <c r="C42" s="1">
        <v>408</v>
      </c>
      <c r="D42" s="1">
        <v>184</v>
      </c>
      <c r="E42">
        <v>195</v>
      </c>
      <c r="F42">
        <v>3900</v>
      </c>
      <c r="G42" t="s">
        <v>2</v>
      </c>
    </row>
    <row r="43" spans="1:7" x14ac:dyDescent="0.45">
      <c r="A43" t="s">
        <v>0</v>
      </c>
      <c r="B43" t="s">
        <v>5</v>
      </c>
      <c r="C43" s="1">
        <v>360</v>
      </c>
      <c r="D43" s="1">
        <v>185</v>
      </c>
      <c r="E43">
        <v>186</v>
      </c>
      <c r="F43">
        <v>3100</v>
      </c>
      <c r="G43" t="s">
        <v>3</v>
      </c>
    </row>
    <row r="44" spans="1:7" x14ac:dyDescent="0.45">
      <c r="A44" t="s">
        <v>0</v>
      </c>
      <c r="B44" t="s">
        <v>5</v>
      </c>
      <c r="C44" s="1">
        <v>441</v>
      </c>
      <c r="D44" s="1">
        <v>197</v>
      </c>
      <c r="E44">
        <v>196</v>
      </c>
      <c r="F44">
        <v>4400</v>
      </c>
      <c r="G44" t="s">
        <v>2</v>
      </c>
    </row>
    <row r="45" spans="1:7" x14ac:dyDescent="0.45">
      <c r="A45" t="s">
        <v>0</v>
      </c>
      <c r="B45" t="s">
        <v>5</v>
      </c>
      <c r="C45" s="1">
        <v>370</v>
      </c>
      <c r="D45" s="1">
        <v>169</v>
      </c>
      <c r="E45">
        <v>185</v>
      </c>
      <c r="F45">
        <v>3000</v>
      </c>
      <c r="G45" t="s">
        <v>3</v>
      </c>
    </row>
    <row r="46" spans="1:7" x14ac:dyDescent="0.45">
      <c r="A46" t="s">
        <v>0</v>
      </c>
      <c r="B46" t="s">
        <v>5</v>
      </c>
      <c r="C46" s="1">
        <v>396</v>
      </c>
      <c r="D46" s="1">
        <v>188</v>
      </c>
      <c r="E46">
        <v>190</v>
      </c>
      <c r="F46">
        <v>4600</v>
      </c>
      <c r="G46" t="s">
        <v>2</v>
      </c>
    </row>
    <row r="47" spans="1:7" x14ac:dyDescent="0.45">
      <c r="A47" t="s">
        <v>0</v>
      </c>
      <c r="B47" t="s">
        <v>5</v>
      </c>
      <c r="C47" s="1">
        <v>411</v>
      </c>
      <c r="D47" s="1">
        <v>190</v>
      </c>
      <c r="E47">
        <v>182</v>
      </c>
      <c r="F47">
        <v>3425</v>
      </c>
      <c r="G47" t="s">
        <v>2</v>
      </c>
    </row>
    <row r="48" spans="1:7" x14ac:dyDescent="0.45">
      <c r="A48" t="s">
        <v>0</v>
      </c>
      <c r="B48" t="s">
        <v>5</v>
      </c>
      <c r="C48" s="1">
        <v>375</v>
      </c>
      <c r="D48" s="1">
        <v>189</v>
      </c>
      <c r="E48">
        <v>179</v>
      </c>
      <c r="F48">
        <v>2975</v>
      </c>
      <c r="G48" t="s">
        <v>3</v>
      </c>
    </row>
    <row r="49" spans="1:7" x14ac:dyDescent="0.45">
      <c r="A49" t="s">
        <v>0</v>
      </c>
      <c r="B49" t="s">
        <v>5</v>
      </c>
      <c r="C49" s="1">
        <v>360</v>
      </c>
      <c r="D49" s="1">
        <v>179</v>
      </c>
      <c r="E49">
        <v>190</v>
      </c>
      <c r="F49">
        <v>3450</v>
      </c>
      <c r="G49" t="s">
        <v>3</v>
      </c>
    </row>
    <row r="50" spans="1:7" x14ac:dyDescent="0.45">
      <c r="A50" t="s">
        <v>0</v>
      </c>
      <c r="B50" t="s">
        <v>5</v>
      </c>
      <c r="C50" s="1">
        <v>423</v>
      </c>
      <c r="D50" s="1">
        <v>212</v>
      </c>
      <c r="E50">
        <v>191</v>
      </c>
      <c r="F50">
        <v>4150</v>
      </c>
      <c r="G50" t="s">
        <v>2</v>
      </c>
    </row>
    <row r="51" spans="1:7" x14ac:dyDescent="0.45">
      <c r="A51" t="s">
        <v>0</v>
      </c>
      <c r="B51" t="s">
        <v>4</v>
      </c>
      <c r="C51" s="1">
        <v>396</v>
      </c>
      <c r="D51" s="1">
        <v>177</v>
      </c>
      <c r="E51">
        <v>186</v>
      </c>
      <c r="F51">
        <v>3500</v>
      </c>
      <c r="G51" t="s">
        <v>3</v>
      </c>
    </row>
    <row r="52" spans="1:7" x14ac:dyDescent="0.45">
      <c r="A52" t="s">
        <v>0</v>
      </c>
      <c r="B52" t="s">
        <v>4</v>
      </c>
      <c r="C52" s="1">
        <v>401</v>
      </c>
      <c r="D52" s="1">
        <v>189</v>
      </c>
      <c r="E52">
        <v>188</v>
      </c>
      <c r="F52">
        <v>4300</v>
      </c>
      <c r="G52" t="s">
        <v>2</v>
      </c>
    </row>
    <row r="53" spans="1:7" x14ac:dyDescent="0.45">
      <c r="A53" t="s">
        <v>0</v>
      </c>
      <c r="B53" t="s">
        <v>4</v>
      </c>
      <c r="C53" s="1">
        <v>350</v>
      </c>
      <c r="D53" s="1">
        <v>179</v>
      </c>
      <c r="E53">
        <v>190</v>
      </c>
      <c r="F53">
        <v>3450</v>
      </c>
      <c r="G53" t="s">
        <v>3</v>
      </c>
    </row>
    <row r="54" spans="1:7" x14ac:dyDescent="0.45">
      <c r="A54" t="s">
        <v>0</v>
      </c>
      <c r="B54" t="s">
        <v>4</v>
      </c>
      <c r="C54" s="1">
        <v>420</v>
      </c>
      <c r="D54" s="1">
        <v>195</v>
      </c>
      <c r="E54">
        <v>200</v>
      </c>
      <c r="F54">
        <v>4050</v>
      </c>
      <c r="G54" t="s">
        <v>2</v>
      </c>
    </row>
    <row r="55" spans="1:7" x14ac:dyDescent="0.45">
      <c r="A55" t="s">
        <v>0</v>
      </c>
      <c r="B55" t="s">
        <v>4</v>
      </c>
      <c r="C55" s="1">
        <v>345</v>
      </c>
      <c r="D55" s="1">
        <v>181</v>
      </c>
      <c r="E55">
        <v>187</v>
      </c>
      <c r="F55">
        <v>2900</v>
      </c>
      <c r="G55" t="s">
        <v>3</v>
      </c>
    </row>
    <row r="56" spans="1:7" x14ac:dyDescent="0.45">
      <c r="A56" t="s">
        <v>0</v>
      </c>
      <c r="B56" t="s">
        <v>4</v>
      </c>
      <c r="C56" s="1">
        <v>414</v>
      </c>
      <c r="D56" s="1">
        <v>186</v>
      </c>
      <c r="E56">
        <v>191</v>
      </c>
      <c r="F56">
        <v>3700</v>
      </c>
      <c r="G56" t="s">
        <v>2</v>
      </c>
    </row>
    <row r="57" spans="1:7" x14ac:dyDescent="0.45">
      <c r="A57" t="s">
        <v>0</v>
      </c>
      <c r="B57" t="s">
        <v>4</v>
      </c>
      <c r="C57" s="1">
        <v>390</v>
      </c>
      <c r="D57" s="1">
        <v>175</v>
      </c>
      <c r="E57">
        <v>186</v>
      </c>
      <c r="F57">
        <v>3550</v>
      </c>
      <c r="G57" t="s">
        <v>3</v>
      </c>
    </row>
    <row r="58" spans="1:7" x14ac:dyDescent="0.45">
      <c r="A58" t="s">
        <v>0</v>
      </c>
      <c r="B58" t="s">
        <v>4</v>
      </c>
      <c r="C58" s="1">
        <v>406</v>
      </c>
      <c r="D58" s="1">
        <v>188</v>
      </c>
      <c r="E58">
        <v>193</v>
      </c>
      <c r="F58">
        <v>3800</v>
      </c>
      <c r="G58" t="s">
        <v>2</v>
      </c>
    </row>
    <row r="59" spans="1:7" x14ac:dyDescent="0.45">
      <c r="A59" t="s">
        <v>0</v>
      </c>
      <c r="B59" t="s">
        <v>4</v>
      </c>
      <c r="C59" s="1">
        <v>365</v>
      </c>
      <c r="D59" s="1">
        <v>166</v>
      </c>
      <c r="E59">
        <v>181</v>
      </c>
      <c r="F59">
        <v>2850</v>
      </c>
      <c r="G59" t="s">
        <v>3</v>
      </c>
    </row>
    <row r="60" spans="1:7" x14ac:dyDescent="0.45">
      <c r="A60" t="s">
        <v>0</v>
      </c>
      <c r="B60" t="s">
        <v>4</v>
      </c>
      <c r="C60" s="1">
        <v>376</v>
      </c>
      <c r="D60" s="1">
        <v>191</v>
      </c>
      <c r="E60">
        <v>194</v>
      </c>
      <c r="F60">
        <v>3750</v>
      </c>
      <c r="G60" t="s">
        <v>2</v>
      </c>
    </row>
    <row r="61" spans="1:7" x14ac:dyDescent="0.45">
      <c r="A61" t="s">
        <v>0</v>
      </c>
      <c r="B61" t="s">
        <v>4</v>
      </c>
      <c r="C61" s="1">
        <v>357</v>
      </c>
      <c r="D61" s="1">
        <v>169</v>
      </c>
      <c r="E61">
        <v>185</v>
      </c>
      <c r="F61">
        <v>3150</v>
      </c>
      <c r="G61" t="s">
        <v>3</v>
      </c>
    </row>
    <row r="62" spans="1:7" x14ac:dyDescent="0.45">
      <c r="A62" t="s">
        <v>0</v>
      </c>
      <c r="B62" t="s">
        <v>4</v>
      </c>
      <c r="C62" s="1">
        <v>413</v>
      </c>
      <c r="D62" s="1">
        <v>211</v>
      </c>
      <c r="E62">
        <v>195</v>
      </c>
      <c r="F62">
        <v>4400</v>
      </c>
      <c r="G62" t="s">
        <v>2</v>
      </c>
    </row>
    <row r="63" spans="1:7" x14ac:dyDescent="0.45">
      <c r="A63" t="s">
        <v>0</v>
      </c>
      <c r="B63" t="s">
        <v>4</v>
      </c>
      <c r="C63" s="1">
        <v>376</v>
      </c>
      <c r="D63" s="1">
        <v>170</v>
      </c>
      <c r="E63">
        <v>185</v>
      </c>
      <c r="F63">
        <v>3600</v>
      </c>
      <c r="G63" t="s">
        <v>3</v>
      </c>
    </row>
    <row r="64" spans="1:7" x14ac:dyDescent="0.45">
      <c r="A64" t="s">
        <v>0</v>
      </c>
      <c r="B64" t="s">
        <v>4</v>
      </c>
      <c r="C64" s="1">
        <v>411</v>
      </c>
      <c r="D64" s="1">
        <v>182</v>
      </c>
      <c r="E64">
        <v>192</v>
      </c>
      <c r="F64">
        <v>4050</v>
      </c>
      <c r="G64" t="s">
        <v>2</v>
      </c>
    </row>
    <row r="65" spans="1:7" x14ac:dyDescent="0.45">
      <c r="A65" t="s">
        <v>0</v>
      </c>
      <c r="B65" t="s">
        <v>4</v>
      </c>
      <c r="C65" s="1">
        <v>364</v>
      </c>
      <c r="D65" s="1">
        <v>171</v>
      </c>
      <c r="E65">
        <v>184</v>
      </c>
      <c r="F65">
        <v>2850</v>
      </c>
      <c r="G65" t="s">
        <v>3</v>
      </c>
    </row>
    <row r="66" spans="1:7" x14ac:dyDescent="0.45">
      <c r="A66" t="s">
        <v>0</v>
      </c>
      <c r="B66" t="s">
        <v>4</v>
      </c>
      <c r="C66" s="1">
        <v>416</v>
      </c>
      <c r="D66" s="1">
        <v>180</v>
      </c>
      <c r="E66">
        <v>192</v>
      </c>
      <c r="F66">
        <v>3950</v>
      </c>
      <c r="G66" t="s">
        <v>2</v>
      </c>
    </row>
    <row r="67" spans="1:7" x14ac:dyDescent="0.45">
      <c r="A67" t="s">
        <v>0</v>
      </c>
      <c r="B67" t="s">
        <v>4</v>
      </c>
      <c r="C67" s="1">
        <v>355</v>
      </c>
      <c r="D67" s="1">
        <v>162</v>
      </c>
      <c r="E67">
        <v>195</v>
      </c>
      <c r="F67">
        <v>3350</v>
      </c>
      <c r="G67" t="s">
        <v>3</v>
      </c>
    </row>
    <row r="68" spans="1:7" x14ac:dyDescent="0.45">
      <c r="A68" t="s">
        <v>0</v>
      </c>
      <c r="B68" t="s">
        <v>4</v>
      </c>
      <c r="C68" s="1">
        <v>411</v>
      </c>
      <c r="D68" s="1">
        <v>191</v>
      </c>
      <c r="E68">
        <v>188</v>
      </c>
      <c r="F68">
        <v>4100</v>
      </c>
      <c r="G68" t="s">
        <v>2</v>
      </c>
    </row>
    <row r="69" spans="1:7" x14ac:dyDescent="0.45">
      <c r="A69" t="s">
        <v>0</v>
      </c>
      <c r="B69" t="s">
        <v>1</v>
      </c>
      <c r="C69" s="1">
        <v>359</v>
      </c>
      <c r="D69" s="1">
        <v>166</v>
      </c>
      <c r="E69">
        <v>190</v>
      </c>
      <c r="F69">
        <v>3050</v>
      </c>
      <c r="G69" t="s">
        <v>3</v>
      </c>
    </row>
    <row r="70" spans="1:7" x14ac:dyDescent="0.45">
      <c r="A70" t="s">
        <v>0</v>
      </c>
      <c r="B70" t="s">
        <v>1</v>
      </c>
      <c r="C70" s="1">
        <v>418</v>
      </c>
      <c r="D70" s="1">
        <v>194</v>
      </c>
      <c r="E70">
        <v>198</v>
      </c>
      <c r="F70">
        <v>4450</v>
      </c>
      <c r="G70" t="s">
        <v>2</v>
      </c>
    </row>
    <row r="71" spans="1:7" x14ac:dyDescent="0.45">
      <c r="A71" t="s">
        <v>0</v>
      </c>
      <c r="B71" t="s">
        <v>1</v>
      </c>
      <c r="C71" s="1">
        <v>335</v>
      </c>
      <c r="D71" s="1">
        <v>190</v>
      </c>
      <c r="E71">
        <v>190</v>
      </c>
      <c r="F71">
        <v>3600</v>
      </c>
      <c r="G71" t="s">
        <v>3</v>
      </c>
    </row>
    <row r="72" spans="1:7" x14ac:dyDescent="0.45">
      <c r="A72" t="s">
        <v>0</v>
      </c>
      <c r="B72" t="s">
        <v>1</v>
      </c>
      <c r="C72" s="1">
        <v>397</v>
      </c>
      <c r="D72" s="1">
        <v>184</v>
      </c>
      <c r="E72">
        <v>190</v>
      </c>
      <c r="F72">
        <v>3900</v>
      </c>
      <c r="G72" t="s">
        <v>2</v>
      </c>
    </row>
    <row r="73" spans="1:7" x14ac:dyDescent="0.45">
      <c r="A73" t="s">
        <v>0</v>
      </c>
      <c r="B73" t="s">
        <v>1</v>
      </c>
      <c r="C73" s="1">
        <v>396</v>
      </c>
      <c r="D73" s="1">
        <v>172</v>
      </c>
      <c r="E73">
        <v>196</v>
      </c>
      <c r="F73">
        <v>3550</v>
      </c>
      <c r="G73" t="s">
        <v>3</v>
      </c>
    </row>
    <row r="74" spans="1:7" x14ac:dyDescent="0.45">
      <c r="A74" t="s">
        <v>0</v>
      </c>
      <c r="B74" t="s">
        <v>1</v>
      </c>
      <c r="C74" s="1">
        <v>458</v>
      </c>
      <c r="D74" s="1">
        <v>189</v>
      </c>
      <c r="E74">
        <v>197</v>
      </c>
      <c r="F74">
        <v>4150</v>
      </c>
      <c r="G74" t="s">
        <v>2</v>
      </c>
    </row>
    <row r="75" spans="1:7" x14ac:dyDescent="0.45">
      <c r="A75" t="s">
        <v>0</v>
      </c>
      <c r="B75" t="s">
        <v>1</v>
      </c>
      <c r="C75" s="1">
        <v>355</v>
      </c>
      <c r="D75" s="1">
        <v>175</v>
      </c>
      <c r="E75">
        <v>190</v>
      </c>
      <c r="F75">
        <v>3700</v>
      </c>
      <c r="G75" t="s">
        <v>3</v>
      </c>
    </row>
    <row r="76" spans="1:7" x14ac:dyDescent="0.45">
      <c r="A76" t="s">
        <v>0</v>
      </c>
      <c r="B76" t="s">
        <v>1</v>
      </c>
      <c r="C76" s="1">
        <v>428</v>
      </c>
      <c r="D76" s="1">
        <v>185</v>
      </c>
      <c r="E76">
        <v>195</v>
      </c>
      <c r="F76">
        <v>4250</v>
      </c>
      <c r="G76" t="s">
        <v>2</v>
      </c>
    </row>
    <row r="77" spans="1:7" x14ac:dyDescent="0.45">
      <c r="A77" t="s">
        <v>0</v>
      </c>
      <c r="B77" t="s">
        <v>1</v>
      </c>
      <c r="C77" s="1">
        <v>409</v>
      </c>
      <c r="D77" s="1">
        <v>168</v>
      </c>
      <c r="E77">
        <v>191</v>
      </c>
      <c r="F77">
        <v>3700</v>
      </c>
      <c r="G77" t="s">
        <v>3</v>
      </c>
    </row>
    <row r="78" spans="1:7" x14ac:dyDescent="0.45">
      <c r="A78" t="s">
        <v>0</v>
      </c>
      <c r="B78" t="s">
        <v>1</v>
      </c>
      <c r="C78" s="1">
        <v>372</v>
      </c>
      <c r="D78" s="1">
        <v>194</v>
      </c>
      <c r="E78">
        <v>184</v>
      </c>
      <c r="F78">
        <v>3900</v>
      </c>
      <c r="G78" t="s">
        <v>2</v>
      </c>
    </row>
    <row r="79" spans="1:7" x14ac:dyDescent="0.45">
      <c r="A79" t="s">
        <v>0</v>
      </c>
      <c r="B79" t="s">
        <v>1</v>
      </c>
      <c r="C79" s="1">
        <v>362</v>
      </c>
      <c r="D79" s="1">
        <v>161</v>
      </c>
      <c r="E79">
        <v>187</v>
      </c>
      <c r="F79">
        <v>3550</v>
      </c>
      <c r="G79" t="s">
        <v>3</v>
      </c>
    </row>
    <row r="80" spans="1:7" x14ac:dyDescent="0.45">
      <c r="A80" t="s">
        <v>0</v>
      </c>
      <c r="B80" t="s">
        <v>1</v>
      </c>
      <c r="C80" s="1">
        <v>421</v>
      </c>
      <c r="D80" s="1">
        <v>191</v>
      </c>
      <c r="E80">
        <v>195</v>
      </c>
      <c r="F80">
        <v>4000</v>
      </c>
      <c r="G80" t="s">
        <v>2</v>
      </c>
    </row>
    <row r="81" spans="1:7" x14ac:dyDescent="0.45">
      <c r="A81" t="s">
        <v>0</v>
      </c>
      <c r="B81" t="s">
        <v>1</v>
      </c>
      <c r="C81" s="1">
        <v>346</v>
      </c>
      <c r="D81" s="1">
        <v>172</v>
      </c>
      <c r="E81">
        <v>189</v>
      </c>
      <c r="F81">
        <v>3200</v>
      </c>
      <c r="G81" t="s">
        <v>3</v>
      </c>
    </row>
    <row r="82" spans="1:7" x14ac:dyDescent="0.45">
      <c r="A82" t="s">
        <v>0</v>
      </c>
      <c r="B82" t="s">
        <v>1</v>
      </c>
      <c r="C82" s="1">
        <v>429</v>
      </c>
      <c r="D82" s="1">
        <v>176</v>
      </c>
      <c r="E82">
        <v>196</v>
      </c>
      <c r="F82">
        <v>4700</v>
      </c>
      <c r="G82" t="s">
        <v>2</v>
      </c>
    </row>
    <row r="83" spans="1:7" x14ac:dyDescent="0.45">
      <c r="A83" t="s">
        <v>0</v>
      </c>
      <c r="B83" t="s">
        <v>1</v>
      </c>
      <c r="C83" s="1">
        <v>367</v>
      </c>
      <c r="D83" s="1">
        <v>188</v>
      </c>
      <c r="E83">
        <v>187</v>
      </c>
      <c r="F83">
        <v>3800</v>
      </c>
      <c r="G83" t="s">
        <v>3</v>
      </c>
    </row>
    <row r="84" spans="1:7" x14ac:dyDescent="0.45">
      <c r="A84" t="s">
        <v>0</v>
      </c>
      <c r="B84" t="s">
        <v>1</v>
      </c>
      <c r="C84" s="1">
        <v>351</v>
      </c>
      <c r="D84" s="1">
        <v>194</v>
      </c>
      <c r="E84">
        <v>193</v>
      </c>
      <c r="F84">
        <v>4200</v>
      </c>
      <c r="G84" t="s">
        <v>2</v>
      </c>
    </row>
    <row r="85" spans="1:7" x14ac:dyDescent="0.45">
      <c r="A85" t="s">
        <v>0</v>
      </c>
      <c r="B85" t="s">
        <v>5</v>
      </c>
      <c r="C85" s="1">
        <v>373</v>
      </c>
      <c r="D85" s="1">
        <v>178</v>
      </c>
      <c r="E85">
        <v>191</v>
      </c>
      <c r="F85">
        <v>3350</v>
      </c>
      <c r="G85" t="s">
        <v>3</v>
      </c>
    </row>
    <row r="86" spans="1:7" x14ac:dyDescent="0.45">
      <c r="A86" t="s">
        <v>0</v>
      </c>
      <c r="B86" t="s">
        <v>5</v>
      </c>
      <c r="C86" s="1">
        <v>413</v>
      </c>
      <c r="D86" s="1">
        <v>203</v>
      </c>
      <c r="E86">
        <v>194</v>
      </c>
      <c r="F86">
        <v>3550</v>
      </c>
      <c r="G86" t="s">
        <v>2</v>
      </c>
    </row>
    <row r="87" spans="1:7" x14ac:dyDescent="0.45">
      <c r="A87" t="s">
        <v>0</v>
      </c>
      <c r="B87" t="s">
        <v>5</v>
      </c>
      <c r="C87" s="1">
        <v>363</v>
      </c>
      <c r="D87" s="1">
        <v>195</v>
      </c>
      <c r="E87">
        <v>190</v>
      </c>
      <c r="F87">
        <v>3800</v>
      </c>
      <c r="G87" t="s">
        <v>2</v>
      </c>
    </row>
    <row r="88" spans="1:7" x14ac:dyDescent="0.45">
      <c r="A88" t="s">
        <v>0</v>
      </c>
      <c r="B88" t="s">
        <v>5</v>
      </c>
      <c r="C88" s="1">
        <v>369</v>
      </c>
      <c r="D88" s="1">
        <v>186</v>
      </c>
      <c r="E88">
        <v>189</v>
      </c>
      <c r="F88">
        <v>3500</v>
      </c>
      <c r="G88" t="s">
        <v>3</v>
      </c>
    </row>
    <row r="89" spans="1:7" x14ac:dyDescent="0.45">
      <c r="A89" t="s">
        <v>0</v>
      </c>
      <c r="B89" t="s">
        <v>5</v>
      </c>
      <c r="C89" s="1">
        <v>383</v>
      </c>
      <c r="D89" s="1">
        <v>192</v>
      </c>
      <c r="E89">
        <v>189</v>
      </c>
      <c r="F89">
        <v>3950</v>
      </c>
      <c r="G89" t="s">
        <v>2</v>
      </c>
    </row>
    <row r="90" spans="1:7" x14ac:dyDescent="0.45">
      <c r="A90" t="s">
        <v>0</v>
      </c>
      <c r="B90" t="s">
        <v>5</v>
      </c>
      <c r="C90" s="1">
        <v>389</v>
      </c>
      <c r="D90" s="1">
        <v>188</v>
      </c>
      <c r="E90">
        <v>190</v>
      </c>
      <c r="F90">
        <v>3600</v>
      </c>
      <c r="G90" t="s">
        <v>3</v>
      </c>
    </row>
    <row r="91" spans="1:7" x14ac:dyDescent="0.45">
      <c r="A91" t="s">
        <v>0</v>
      </c>
      <c r="B91" t="s">
        <v>5</v>
      </c>
      <c r="C91" s="1">
        <v>357</v>
      </c>
      <c r="D91" s="1">
        <v>180</v>
      </c>
      <c r="E91">
        <v>202</v>
      </c>
      <c r="F91">
        <v>3550</v>
      </c>
      <c r="G91" t="s">
        <v>3</v>
      </c>
    </row>
    <row r="92" spans="1:7" x14ac:dyDescent="0.45">
      <c r="A92" t="s">
        <v>0</v>
      </c>
      <c r="B92" t="s">
        <v>5</v>
      </c>
      <c r="C92" s="1">
        <v>411</v>
      </c>
      <c r="D92" s="1">
        <v>181</v>
      </c>
      <c r="E92">
        <v>205</v>
      </c>
      <c r="F92">
        <v>4300</v>
      </c>
      <c r="G92" t="s">
        <v>2</v>
      </c>
    </row>
    <row r="93" spans="1:7" x14ac:dyDescent="0.45">
      <c r="A93" t="s">
        <v>0</v>
      </c>
      <c r="B93" t="s">
        <v>5</v>
      </c>
      <c r="C93" s="1">
        <v>340</v>
      </c>
      <c r="D93" s="1">
        <v>171</v>
      </c>
      <c r="E93">
        <v>185</v>
      </c>
      <c r="F93">
        <v>3400</v>
      </c>
      <c r="G93" t="s">
        <v>3</v>
      </c>
    </row>
    <row r="94" spans="1:7" x14ac:dyDescent="0.45">
      <c r="A94" t="s">
        <v>0</v>
      </c>
      <c r="B94" t="s">
        <v>5</v>
      </c>
      <c r="C94" s="1">
        <v>396</v>
      </c>
      <c r="D94" s="1">
        <v>181</v>
      </c>
      <c r="E94">
        <v>186</v>
      </c>
      <c r="F94">
        <v>4450</v>
      </c>
      <c r="G94" t="s">
        <v>2</v>
      </c>
    </row>
    <row r="95" spans="1:7" x14ac:dyDescent="0.45">
      <c r="A95" t="s">
        <v>0</v>
      </c>
      <c r="B95" t="s">
        <v>5</v>
      </c>
      <c r="C95" s="1">
        <v>362</v>
      </c>
      <c r="D95" s="1">
        <v>173</v>
      </c>
      <c r="E95">
        <v>187</v>
      </c>
      <c r="F95">
        <v>3300</v>
      </c>
      <c r="G95" t="s">
        <v>3</v>
      </c>
    </row>
    <row r="96" spans="1:7" x14ac:dyDescent="0.45">
      <c r="A96" t="s">
        <v>0</v>
      </c>
      <c r="B96" t="s">
        <v>5</v>
      </c>
      <c r="C96" s="1">
        <v>408</v>
      </c>
      <c r="D96" s="1">
        <v>189</v>
      </c>
      <c r="E96">
        <v>208</v>
      </c>
      <c r="F96">
        <v>4300</v>
      </c>
      <c r="G96" t="s">
        <v>2</v>
      </c>
    </row>
    <row r="97" spans="1:7" x14ac:dyDescent="0.45">
      <c r="A97" t="s">
        <v>0</v>
      </c>
      <c r="B97" t="s">
        <v>5</v>
      </c>
      <c r="C97" s="1">
        <v>381</v>
      </c>
      <c r="D97" s="1">
        <v>186</v>
      </c>
      <c r="E97">
        <v>190</v>
      </c>
      <c r="F97">
        <v>3700</v>
      </c>
      <c r="G97" t="s">
        <v>3</v>
      </c>
    </row>
    <row r="98" spans="1:7" x14ac:dyDescent="0.45">
      <c r="A98" t="s">
        <v>0</v>
      </c>
      <c r="B98" t="s">
        <v>5</v>
      </c>
      <c r="C98" s="1">
        <v>403</v>
      </c>
      <c r="D98" s="1">
        <v>185</v>
      </c>
      <c r="E98">
        <v>196</v>
      </c>
      <c r="F98">
        <v>4350</v>
      </c>
      <c r="G98" t="s">
        <v>2</v>
      </c>
    </row>
    <row r="99" spans="1:7" x14ac:dyDescent="0.45">
      <c r="A99" t="s">
        <v>0</v>
      </c>
      <c r="B99" t="s">
        <v>5</v>
      </c>
      <c r="C99" s="1">
        <v>331</v>
      </c>
      <c r="D99" s="1">
        <v>161</v>
      </c>
      <c r="E99">
        <v>178</v>
      </c>
      <c r="F99">
        <v>2900</v>
      </c>
      <c r="G99" t="s">
        <v>3</v>
      </c>
    </row>
    <row r="100" spans="1:7" x14ac:dyDescent="0.45">
      <c r="A100" t="s">
        <v>0</v>
      </c>
      <c r="B100" t="s">
        <v>5</v>
      </c>
      <c r="C100" s="1">
        <v>432</v>
      </c>
      <c r="D100" s="1">
        <v>185</v>
      </c>
      <c r="E100">
        <v>192</v>
      </c>
      <c r="F100">
        <v>4100</v>
      </c>
      <c r="G100" t="s">
        <v>2</v>
      </c>
    </row>
    <row r="101" spans="1:7" x14ac:dyDescent="0.45">
      <c r="A101" t="s">
        <v>0</v>
      </c>
      <c r="B101" t="s">
        <v>4</v>
      </c>
      <c r="C101" s="1">
        <v>350</v>
      </c>
      <c r="D101" s="1">
        <v>179</v>
      </c>
      <c r="E101">
        <v>192</v>
      </c>
      <c r="F101">
        <v>3725</v>
      </c>
      <c r="G101" t="s">
        <v>3</v>
      </c>
    </row>
    <row r="102" spans="1:7" x14ac:dyDescent="0.45">
      <c r="A102" t="s">
        <v>0</v>
      </c>
      <c r="B102" t="s">
        <v>4</v>
      </c>
      <c r="C102" s="1">
        <v>410</v>
      </c>
      <c r="D102" s="1">
        <v>200</v>
      </c>
      <c r="E102">
        <v>203</v>
      </c>
      <c r="F102">
        <v>4725</v>
      </c>
      <c r="G102" t="s">
        <v>2</v>
      </c>
    </row>
    <row r="103" spans="1:7" x14ac:dyDescent="0.45">
      <c r="A103" t="s">
        <v>0</v>
      </c>
      <c r="B103" t="s">
        <v>4</v>
      </c>
      <c r="C103" s="1">
        <v>377</v>
      </c>
      <c r="D103" s="1">
        <v>160</v>
      </c>
      <c r="E103">
        <v>183</v>
      </c>
      <c r="F103">
        <v>3075</v>
      </c>
      <c r="G103" t="s">
        <v>3</v>
      </c>
    </row>
    <row r="104" spans="1:7" x14ac:dyDescent="0.45">
      <c r="A104" t="s">
        <v>0</v>
      </c>
      <c r="B104" t="s">
        <v>4</v>
      </c>
      <c r="C104" s="1">
        <v>378</v>
      </c>
      <c r="D104" s="1">
        <v>200</v>
      </c>
      <c r="E104">
        <v>190</v>
      </c>
      <c r="F104">
        <v>4250</v>
      </c>
      <c r="G104" t="s">
        <v>2</v>
      </c>
    </row>
    <row r="105" spans="1:7" x14ac:dyDescent="0.45">
      <c r="A105" t="s">
        <v>0</v>
      </c>
      <c r="B105" t="s">
        <v>4</v>
      </c>
      <c r="C105" s="1">
        <v>379</v>
      </c>
      <c r="D105" s="1">
        <v>186</v>
      </c>
      <c r="E105">
        <v>193</v>
      </c>
      <c r="F105">
        <v>2925</v>
      </c>
      <c r="G105" t="s">
        <v>3</v>
      </c>
    </row>
    <row r="106" spans="1:7" x14ac:dyDescent="0.45">
      <c r="A106" t="s">
        <v>0</v>
      </c>
      <c r="B106" t="s">
        <v>4</v>
      </c>
      <c r="C106" s="1">
        <v>397</v>
      </c>
      <c r="D106" s="1">
        <v>189</v>
      </c>
      <c r="E106">
        <v>184</v>
      </c>
      <c r="F106">
        <v>3550</v>
      </c>
      <c r="G106" t="s">
        <v>2</v>
      </c>
    </row>
    <row r="107" spans="1:7" x14ac:dyDescent="0.45">
      <c r="A107" t="s">
        <v>0</v>
      </c>
      <c r="B107" t="s">
        <v>4</v>
      </c>
      <c r="C107" s="1">
        <v>386</v>
      </c>
      <c r="D107" s="1">
        <v>172</v>
      </c>
      <c r="E107">
        <v>199</v>
      </c>
      <c r="F107">
        <v>3750</v>
      </c>
      <c r="G107" t="s">
        <v>3</v>
      </c>
    </row>
    <row r="108" spans="1:7" x14ac:dyDescent="0.45">
      <c r="A108" t="s">
        <v>0</v>
      </c>
      <c r="B108" t="s">
        <v>4</v>
      </c>
      <c r="C108" s="1">
        <v>382</v>
      </c>
      <c r="D108" s="1">
        <v>200</v>
      </c>
      <c r="E108">
        <v>190</v>
      </c>
      <c r="F108">
        <v>3900</v>
      </c>
      <c r="G108" t="s">
        <v>2</v>
      </c>
    </row>
    <row r="109" spans="1:7" x14ac:dyDescent="0.45">
      <c r="A109" t="s">
        <v>0</v>
      </c>
      <c r="B109" t="s">
        <v>4</v>
      </c>
      <c r="C109" s="1">
        <v>381</v>
      </c>
      <c r="D109" s="1">
        <v>170</v>
      </c>
      <c r="E109">
        <v>181</v>
      </c>
      <c r="F109">
        <v>3175</v>
      </c>
      <c r="G109" t="s">
        <v>3</v>
      </c>
    </row>
    <row r="110" spans="1:7" x14ac:dyDescent="0.45">
      <c r="A110" t="s">
        <v>0</v>
      </c>
      <c r="B110" t="s">
        <v>4</v>
      </c>
      <c r="C110" s="1">
        <v>432</v>
      </c>
      <c r="D110" s="1">
        <v>190</v>
      </c>
      <c r="E110">
        <v>197</v>
      </c>
      <c r="F110">
        <v>4775</v>
      </c>
      <c r="G110" t="s">
        <v>2</v>
      </c>
    </row>
    <row r="111" spans="1:7" x14ac:dyDescent="0.45">
      <c r="A111" t="s">
        <v>0</v>
      </c>
      <c r="B111" t="s">
        <v>4</v>
      </c>
      <c r="C111" s="1">
        <v>381</v>
      </c>
      <c r="D111" s="1">
        <v>165</v>
      </c>
      <c r="E111">
        <v>198</v>
      </c>
      <c r="F111">
        <v>3825</v>
      </c>
      <c r="G111" t="s">
        <v>3</v>
      </c>
    </row>
    <row r="112" spans="1:7" x14ac:dyDescent="0.45">
      <c r="A112" t="s">
        <v>0</v>
      </c>
      <c r="B112" t="s">
        <v>4</v>
      </c>
      <c r="C112" s="1">
        <v>456</v>
      </c>
      <c r="D112" s="1">
        <v>203</v>
      </c>
      <c r="E112">
        <v>191</v>
      </c>
      <c r="F112">
        <v>4600</v>
      </c>
      <c r="G112" t="s">
        <v>2</v>
      </c>
    </row>
    <row r="113" spans="1:7" x14ac:dyDescent="0.45">
      <c r="A113" t="s">
        <v>0</v>
      </c>
      <c r="B113" t="s">
        <v>4</v>
      </c>
      <c r="C113" s="1">
        <v>397</v>
      </c>
      <c r="D113" s="1">
        <v>177</v>
      </c>
      <c r="E113">
        <v>193</v>
      </c>
      <c r="F113">
        <v>3200</v>
      </c>
      <c r="G113" t="s">
        <v>3</v>
      </c>
    </row>
    <row r="114" spans="1:7" x14ac:dyDescent="0.45">
      <c r="A114" t="s">
        <v>0</v>
      </c>
      <c r="B114" t="s">
        <v>4</v>
      </c>
      <c r="C114" s="1">
        <v>422</v>
      </c>
      <c r="D114" s="1">
        <v>195</v>
      </c>
      <c r="E114">
        <v>197</v>
      </c>
      <c r="F114">
        <v>4275</v>
      </c>
      <c r="G114" t="s">
        <v>2</v>
      </c>
    </row>
    <row r="115" spans="1:7" x14ac:dyDescent="0.45">
      <c r="A115" t="s">
        <v>0</v>
      </c>
      <c r="B115" t="s">
        <v>4</v>
      </c>
      <c r="C115" s="1">
        <v>396</v>
      </c>
      <c r="D115" s="1">
        <v>207</v>
      </c>
      <c r="E115">
        <v>191</v>
      </c>
      <c r="F115">
        <v>3900</v>
      </c>
      <c r="G115" t="s">
        <v>3</v>
      </c>
    </row>
    <row r="116" spans="1:7" x14ac:dyDescent="0.45">
      <c r="A116" t="s">
        <v>0</v>
      </c>
      <c r="B116" t="s">
        <v>4</v>
      </c>
      <c r="C116" s="1">
        <v>427</v>
      </c>
      <c r="D116" s="1">
        <v>183</v>
      </c>
      <c r="E116">
        <v>196</v>
      </c>
      <c r="F116">
        <v>4075</v>
      </c>
      <c r="G116" t="s">
        <v>2</v>
      </c>
    </row>
    <row r="117" spans="1:7" x14ac:dyDescent="0.45">
      <c r="A117" t="s">
        <v>0</v>
      </c>
      <c r="B117" t="s">
        <v>1</v>
      </c>
      <c r="C117" s="1">
        <v>386</v>
      </c>
      <c r="D117" s="1">
        <v>170</v>
      </c>
      <c r="E117">
        <v>188</v>
      </c>
      <c r="F117">
        <v>2900</v>
      </c>
      <c r="G117" t="s">
        <v>3</v>
      </c>
    </row>
    <row r="118" spans="1:7" x14ac:dyDescent="0.45">
      <c r="A118" t="s">
        <v>0</v>
      </c>
      <c r="B118" t="s">
        <v>1</v>
      </c>
      <c r="C118" s="1">
        <v>373</v>
      </c>
      <c r="D118" s="1">
        <v>205</v>
      </c>
      <c r="E118">
        <v>199</v>
      </c>
      <c r="F118">
        <v>3775</v>
      </c>
      <c r="G118" t="s">
        <v>2</v>
      </c>
    </row>
    <row r="119" spans="1:7" x14ac:dyDescent="0.45">
      <c r="A119" t="s">
        <v>0</v>
      </c>
      <c r="B119" t="s">
        <v>1</v>
      </c>
      <c r="C119" s="1">
        <v>357</v>
      </c>
      <c r="D119" s="1">
        <v>170</v>
      </c>
      <c r="E119">
        <v>189</v>
      </c>
      <c r="F119">
        <v>3350</v>
      </c>
      <c r="G119" t="s">
        <v>3</v>
      </c>
    </row>
    <row r="120" spans="1:7" x14ac:dyDescent="0.45">
      <c r="A120" t="s">
        <v>0</v>
      </c>
      <c r="B120" t="s">
        <v>1</v>
      </c>
      <c r="C120" s="1">
        <v>411</v>
      </c>
      <c r="D120" s="1">
        <v>186</v>
      </c>
      <c r="E120">
        <v>189</v>
      </c>
      <c r="F120">
        <v>3325</v>
      </c>
      <c r="G120" t="s">
        <v>2</v>
      </c>
    </row>
    <row r="121" spans="1:7" x14ac:dyDescent="0.45">
      <c r="A121" t="s">
        <v>0</v>
      </c>
      <c r="B121" t="s">
        <v>1</v>
      </c>
      <c r="C121" s="1">
        <v>362</v>
      </c>
      <c r="D121" s="1">
        <v>172</v>
      </c>
      <c r="E121">
        <v>187</v>
      </c>
      <c r="F121">
        <v>3150</v>
      </c>
      <c r="G121" t="s">
        <v>3</v>
      </c>
    </row>
    <row r="122" spans="1:7" x14ac:dyDescent="0.45">
      <c r="A122" t="s">
        <v>0</v>
      </c>
      <c r="B122" t="s">
        <v>1</v>
      </c>
      <c r="C122" s="1">
        <v>377</v>
      </c>
      <c r="D122" s="1">
        <v>198</v>
      </c>
      <c r="E122">
        <v>198</v>
      </c>
      <c r="F122">
        <v>3500</v>
      </c>
      <c r="G122" t="s">
        <v>2</v>
      </c>
    </row>
    <row r="123" spans="1:7" x14ac:dyDescent="0.45">
      <c r="A123" t="s">
        <v>0</v>
      </c>
      <c r="B123" t="s">
        <v>1</v>
      </c>
      <c r="C123" s="1">
        <v>402</v>
      </c>
      <c r="D123" s="1">
        <v>170</v>
      </c>
      <c r="E123">
        <v>176</v>
      </c>
      <c r="F123">
        <v>3450</v>
      </c>
      <c r="G123" t="s">
        <v>3</v>
      </c>
    </row>
    <row r="124" spans="1:7" x14ac:dyDescent="0.45">
      <c r="A124" t="s">
        <v>0</v>
      </c>
      <c r="B124" t="s">
        <v>1</v>
      </c>
      <c r="C124" s="1">
        <v>414</v>
      </c>
      <c r="D124" s="1">
        <v>185</v>
      </c>
      <c r="E124">
        <v>202</v>
      </c>
      <c r="F124">
        <v>3875</v>
      </c>
      <c r="G124" t="s">
        <v>2</v>
      </c>
    </row>
    <row r="125" spans="1:7" x14ac:dyDescent="0.45">
      <c r="A125" t="s">
        <v>0</v>
      </c>
      <c r="B125" t="s">
        <v>1</v>
      </c>
      <c r="C125" s="1">
        <v>352</v>
      </c>
      <c r="D125" s="1">
        <v>159</v>
      </c>
      <c r="E125">
        <v>186</v>
      </c>
      <c r="F125">
        <v>3050</v>
      </c>
      <c r="G125" t="s">
        <v>3</v>
      </c>
    </row>
    <row r="126" spans="1:7" x14ac:dyDescent="0.45">
      <c r="A126" t="s">
        <v>0</v>
      </c>
      <c r="B126" t="s">
        <v>1</v>
      </c>
      <c r="C126" s="1">
        <v>406</v>
      </c>
      <c r="D126" s="1">
        <v>190</v>
      </c>
      <c r="E126">
        <v>199</v>
      </c>
      <c r="F126">
        <v>4000</v>
      </c>
      <c r="G126" t="s">
        <v>2</v>
      </c>
    </row>
    <row r="127" spans="1:7" x14ac:dyDescent="0.45">
      <c r="A127" t="s">
        <v>0</v>
      </c>
      <c r="B127" t="s">
        <v>1</v>
      </c>
      <c r="C127" s="1">
        <v>388</v>
      </c>
      <c r="D127" s="1">
        <v>176</v>
      </c>
      <c r="E127">
        <v>191</v>
      </c>
      <c r="F127">
        <v>3275</v>
      </c>
      <c r="G127" t="s">
        <v>3</v>
      </c>
    </row>
    <row r="128" spans="1:7" x14ac:dyDescent="0.45">
      <c r="A128" t="s">
        <v>0</v>
      </c>
      <c r="B128" t="s">
        <v>1</v>
      </c>
      <c r="C128" s="1">
        <v>415</v>
      </c>
      <c r="D128" s="1">
        <v>183</v>
      </c>
      <c r="E128">
        <v>195</v>
      </c>
      <c r="F128">
        <v>4300</v>
      </c>
      <c r="G128" t="s">
        <v>2</v>
      </c>
    </row>
    <row r="129" spans="1:7" x14ac:dyDescent="0.45">
      <c r="A129" t="s">
        <v>0</v>
      </c>
      <c r="B129" t="s">
        <v>1</v>
      </c>
      <c r="C129" s="1">
        <v>390</v>
      </c>
      <c r="D129" s="1">
        <v>171</v>
      </c>
      <c r="E129">
        <v>191</v>
      </c>
      <c r="F129">
        <v>3050</v>
      </c>
      <c r="G129" t="s">
        <v>3</v>
      </c>
    </row>
    <row r="130" spans="1:7" x14ac:dyDescent="0.45">
      <c r="A130" t="s">
        <v>0</v>
      </c>
      <c r="B130" t="s">
        <v>1</v>
      </c>
      <c r="C130" s="1">
        <v>441</v>
      </c>
      <c r="D130" s="1">
        <v>180</v>
      </c>
      <c r="E130">
        <v>210</v>
      </c>
      <c r="F130">
        <v>4000</v>
      </c>
      <c r="G130" t="s">
        <v>2</v>
      </c>
    </row>
    <row r="131" spans="1:7" x14ac:dyDescent="0.45">
      <c r="A131" t="s">
        <v>0</v>
      </c>
      <c r="B131" t="s">
        <v>1</v>
      </c>
      <c r="C131" s="1">
        <v>385</v>
      </c>
      <c r="D131" s="1">
        <v>179</v>
      </c>
      <c r="E131">
        <v>190</v>
      </c>
      <c r="F131">
        <v>3325</v>
      </c>
      <c r="G131" t="s">
        <v>3</v>
      </c>
    </row>
    <row r="132" spans="1:7" x14ac:dyDescent="0.45">
      <c r="A132" t="s">
        <v>0</v>
      </c>
      <c r="B132" t="s">
        <v>1</v>
      </c>
      <c r="C132" s="1">
        <v>431</v>
      </c>
      <c r="D132" s="1">
        <v>192</v>
      </c>
      <c r="E132">
        <v>197</v>
      </c>
      <c r="F132">
        <v>3500</v>
      </c>
      <c r="G132" t="s">
        <v>2</v>
      </c>
    </row>
    <row r="133" spans="1:7" x14ac:dyDescent="0.45">
      <c r="A133" t="s">
        <v>0</v>
      </c>
      <c r="B133" t="s">
        <v>5</v>
      </c>
      <c r="C133" s="1">
        <v>368</v>
      </c>
      <c r="D133" s="1">
        <v>185</v>
      </c>
      <c r="E133">
        <v>193</v>
      </c>
      <c r="F133">
        <v>3500</v>
      </c>
      <c r="G133" t="s">
        <v>3</v>
      </c>
    </row>
    <row r="134" spans="1:7" x14ac:dyDescent="0.45">
      <c r="A134" t="s">
        <v>0</v>
      </c>
      <c r="B134" t="s">
        <v>5</v>
      </c>
      <c r="C134" s="1">
        <v>375</v>
      </c>
      <c r="D134" s="1">
        <v>185</v>
      </c>
      <c r="E134">
        <v>199</v>
      </c>
      <c r="F134">
        <v>4475</v>
      </c>
      <c r="G134" t="s">
        <v>2</v>
      </c>
    </row>
    <row r="135" spans="1:7" x14ac:dyDescent="0.45">
      <c r="A135" t="s">
        <v>0</v>
      </c>
      <c r="B135" t="s">
        <v>5</v>
      </c>
      <c r="C135" s="1">
        <v>381</v>
      </c>
      <c r="D135" s="1">
        <v>176</v>
      </c>
      <c r="E135">
        <v>187</v>
      </c>
      <c r="F135">
        <v>3425</v>
      </c>
      <c r="G135" t="s">
        <v>3</v>
      </c>
    </row>
    <row r="136" spans="1:7" x14ac:dyDescent="0.45">
      <c r="A136" t="s">
        <v>0</v>
      </c>
      <c r="B136" t="s">
        <v>5</v>
      </c>
      <c r="C136" s="1">
        <v>411</v>
      </c>
      <c r="D136" s="1">
        <v>175</v>
      </c>
      <c r="E136">
        <v>190</v>
      </c>
      <c r="F136">
        <v>3900</v>
      </c>
      <c r="G136" t="s">
        <v>2</v>
      </c>
    </row>
    <row r="137" spans="1:7" x14ac:dyDescent="0.45">
      <c r="A137" t="s">
        <v>0</v>
      </c>
      <c r="B137" t="s">
        <v>5</v>
      </c>
      <c r="C137" s="1">
        <v>356</v>
      </c>
      <c r="D137" s="1">
        <v>175</v>
      </c>
      <c r="E137">
        <v>191</v>
      </c>
      <c r="F137">
        <v>3175</v>
      </c>
      <c r="G137" t="s">
        <v>3</v>
      </c>
    </row>
    <row r="138" spans="1:7" x14ac:dyDescent="0.45">
      <c r="A138" t="s">
        <v>0</v>
      </c>
      <c r="B138" t="s">
        <v>5</v>
      </c>
      <c r="C138" s="1">
        <v>402</v>
      </c>
      <c r="D138" s="1">
        <v>201</v>
      </c>
      <c r="E138">
        <v>200</v>
      </c>
      <c r="F138">
        <v>3975</v>
      </c>
      <c r="G138" t="s">
        <v>2</v>
      </c>
    </row>
    <row r="139" spans="1:7" x14ac:dyDescent="0.45">
      <c r="A139" t="s">
        <v>0</v>
      </c>
      <c r="B139" t="s">
        <v>5</v>
      </c>
      <c r="C139" s="1">
        <v>370</v>
      </c>
      <c r="D139" s="1">
        <v>165</v>
      </c>
      <c r="E139">
        <v>185</v>
      </c>
      <c r="F139">
        <v>3400</v>
      </c>
      <c r="G139" t="s">
        <v>3</v>
      </c>
    </row>
    <row r="140" spans="1:7" x14ac:dyDescent="0.45">
      <c r="A140" t="s">
        <v>0</v>
      </c>
      <c r="B140" t="s">
        <v>5</v>
      </c>
      <c r="C140" s="1">
        <v>397</v>
      </c>
      <c r="D140" s="1">
        <v>179</v>
      </c>
      <c r="E140">
        <v>193</v>
      </c>
      <c r="F140">
        <v>4250</v>
      </c>
      <c r="G140" t="s">
        <v>2</v>
      </c>
    </row>
    <row r="141" spans="1:7" x14ac:dyDescent="0.45">
      <c r="A141" t="s">
        <v>0</v>
      </c>
      <c r="B141" t="s">
        <v>5</v>
      </c>
      <c r="C141" s="1">
        <v>402</v>
      </c>
      <c r="D141" s="1">
        <v>171</v>
      </c>
      <c r="E141">
        <v>193</v>
      </c>
      <c r="F141">
        <v>3400</v>
      </c>
      <c r="G141" t="s">
        <v>3</v>
      </c>
    </row>
    <row r="142" spans="1:7" x14ac:dyDescent="0.45">
      <c r="A142" t="s">
        <v>0</v>
      </c>
      <c r="B142" t="s">
        <v>5</v>
      </c>
      <c r="C142" s="1">
        <v>406</v>
      </c>
      <c r="D142" s="1">
        <v>172</v>
      </c>
      <c r="E142">
        <v>187</v>
      </c>
      <c r="F142">
        <v>3475</v>
      </c>
      <c r="G142" t="s">
        <v>2</v>
      </c>
    </row>
    <row r="143" spans="1:7" x14ac:dyDescent="0.45">
      <c r="A143" t="s">
        <v>0</v>
      </c>
      <c r="B143" t="s">
        <v>5</v>
      </c>
      <c r="C143" s="1">
        <v>321</v>
      </c>
      <c r="D143" s="1">
        <v>155</v>
      </c>
      <c r="E143">
        <v>188</v>
      </c>
      <c r="F143">
        <v>3050</v>
      </c>
      <c r="G143" t="s">
        <v>3</v>
      </c>
    </row>
    <row r="144" spans="1:7" x14ac:dyDescent="0.45">
      <c r="A144" t="s">
        <v>0</v>
      </c>
      <c r="B144" t="s">
        <v>5</v>
      </c>
      <c r="C144" s="1">
        <v>407</v>
      </c>
      <c r="D144" s="1">
        <v>170</v>
      </c>
      <c r="E144">
        <v>190</v>
      </c>
      <c r="F144">
        <v>3725</v>
      </c>
      <c r="G144" t="s">
        <v>2</v>
      </c>
    </row>
    <row r="145" spans="1:7" x14ac:dyDescent="0.45">
      <c r="A145" t="s">
        <v>0</v>
      </c>
      <c r="B145" t="s">
        <v>5</v>
      </c>
      <c r="C145" s="1">
        <v>373</v>
      </c>
      <c r="D145" s="1">
        <v>168</v>
      </c>
      <c r="E145">
        <v>192</v>
      </c>
      <c r="F145">
        <v>3000</v>
      </c>
      <c r="G145" t="s">
        <v>3</v>
      </c>
    </row>
    <row r="146" spans="1:7" x14ac:dyDescent="0.45">
      <c r="A146" t="s">
        <v>0</v>
      </c>
      <c r="B146" t="s">
        <v>5</v>
      </c>
      <c r="C146" s="1">
        <v>390</v>
      </c>
      <c r="D146" s="1">
        <v>187</v>
      </c>
      <c r="E146">
        <v>185</v>
      </c>
      <c r="F146">
        <v>3650</v>
      </c>
      <c r="G146" t="s">
        <v>2</v>
      </c>
    </row>
    <row r="147" spans="1:7" x14ac:dyDescent="0.45">
      <c r="A147" t="s">
        <v>0</v>
      </c>
      <c r="B147" t="s">
        <v>5</v>
      </c>
      <c r="C147" s="1">
        <v>392</v>
      </c>
      <c r="D147" s="1">
        <v>186</v>
      </c>
      <c r="E147">
        <v>190</v>
      </c>
      <c r="F147">
        <v>4250</v>
      </c>
      <c r="G147" t="s">
        <v>2</v>
      </c>
    </row>
    <row r="148" spans="1:7" x14ac:dyDescent="0.45">
      <c r="A148" t="s">
        <v>0</v>
      </c>
      <c r="B148" t="s">
        <v>5</v>
      </c>
      <c r="C148" s="1">
        <v>366</v>
      </c>
      <c r="D148" s="1">
        <v>184</v>
      </c>
      <c r="E148">
        <v>184</v>
      </c>
      <c r="F148">
        <v>3475</v>
      </c>
      <c r="G148" t="s">
        <v>3</v>
      </c>
    </row>
    <row r="149" spans="1:7" x14ac:dyDescent="0.45">
      <c r="A149" t="s">
        <v>0</v>
      </c>
      <c r="B149" t="s">
        <v>5</v>
      </c>
      <c r="C149" s="1">
        <v>360</v>
      </c>
      <c r="D149" s="1">
        <v>178</v>
      </c>
      <c r="E149">
        <v>195</v>
      </c>
      <c r="F149">
        <v>3450</v>
      </c>
      <c r="G149" t="s">
        <v>3</v>
      </c>
    </row>
    <row r="150" spans="1:7" x14ac:dyDescent="0.45">
      <c r="A150" t="s">
        <v>0</v>
      </c>
      <c r="B150" t="s">
        <v>5</v>
      </c>
      <c r="C150" s="1">
        <v>378</v>
      </c>
      <c r="D150" s="1">
        <v>181</v>
      </c>
      <c r="E150">
        <v>193</v>
      </c>
      <c r="F150">
        <v>3750</v>
      </c>
      <c r="G150" t="s">
        <v>2</v>
      </c>
    </row>
    <row r="151" spans="1:7" x14ac:dyDescent="0.45">
      <c r="A151" t="s">
        <v>0</v>
      </c>
      <c r="B151" t="s">
        <v>5</v>
      </c>
      <c r="C151" s="1">
        <v>360</v>
      </c>
      <c r="D151" s="1">
        <v>171</v>
      </c>
      <c r="E151">
        <v>187</v>
      </c>
      <c r="F151">
        <v>3700</v>
      </c>
      <c r="G151" t="s">
        <v>3</v>
      </c>
    </row>
    <row r="152" spans="1:7" x14ac:dyDescent="0.45">
      <c r="A152" t="s">
        <v>0</v>
      </c>
      <c r="B152" t="s">
        <v>5</v>
      </c>
      <c r="C152" s="1">
        <v>415</v>
      </c>
      <c r="D152" s="1">
        <v>185</v>
      </c>
      <c r="E152">
        <v>201</v>
      </c>
      <c r="F152">
        <v>4000</v>
      </c>
      <c r="G152" t="s">
        <v>2</v>
      </c>
    </row>
    <row r="153" spans="1:7" x14ac:dyDescent="0.45">
      <c r="A153" t="s">
        <v>6</v>
      </c>
      <c r="B153" t="s">
        <v>5</v>
      </c>
      <c r="C153" s="1">
        <v>465</v>
      </c>
      <c r="D153" s="1">
        <v>179</v>
      </c>
      <c r="E153">
        <v>192</v>
      </c>
      <c r="F153">
        <v>3500</v>
      </c>
      <c r="G153" t="s">
        <v>3</v>
      </c>
    </row>
    <row r="154" spans="1:7" x14ac:dyDescent="0.45">
      <c r="A154" t="s">
        <v>6</v>
      </c>
      <c r="B154" t="s">
        <v>5</v>
      </c>
      <c r="C154" s="1">
        <v>500</v>
      </c>
      <c r="D154" s="1">
        <v>195</v>
      </c>
      <c r="E154">
        <v>196</v>
      </c>
      <c r="F154">
        <v>3900</v>
      </c>
      <c r="G154" t="s">
        <v>2</v>
      </c>
    </row>
    <row r="155" spans="1:7" x14ac:dyDescent="0.45">
      <c r="A155" t="s">
        <v>6</v>
      </c>
      <c r="B155" t="s">
        <v>5</v>
      </c>
      <c r="C155" s="1">
        <v>513</v>
      </c>
      <c r="D155" s="1">
        <v>192</v>
      </c>
      <c r="E155">
        <v>193</v>
      </c>
      <c r="F155">
        <v>3650</v>
      </c>
      <c r="G155" t="s">
        <v>2</v>
      </c>
    </row>
    <row r="156" spans="1:7" x14ac:dyDescent="0.45">
      <c r="A156" t="s">
        <v>6</v>
      </c>
      <c r="B156" t="s">
        <v>5</v>
      </c>
      <c r="C156" s="1">
        <v>454</v>
      </c>
      <c r="D156" s="1">
        <v>187</v>
      </c>
      <c r="E156">
        <v>188</v>
      </c>
      <c r="F156">
        <v>3525</v>
      </c>
      <c r="G156" t="s">
        <v>3</v>
      </c>
    </row>
    <row r="157" spans="1:7" x14ac:dyDescent="0.45">
      <c r="A157" t="s">
        <v>6</v>
      </c>
      <c r="B157" t="s">
        <v>5</v>
      </c>
      <c r="C157" s="1">
        <v>527</v>
      </c>
      <c r="D157" s="1">
        <v>198</v>
      </c>
      <c r="E157">
        <v>197</v>
      </c>
      <c r="F157">
        <v>3725</v>
      </c>
      <c r="G157" t="s">
        <v>2</v>
      </c>
    </row>
    <row r="158" spans="1:7" x14ac:dyDescent="0.45">
      <c r="A158" t="s">
        <v>6</v>
      </c>
      <c r="B158" t="s">
        <v>5</v>
      </c>
      <c r="C158" s="1">
        <v>452</v>
      </c>
      <c r="D158" s="1">
        <v>178</v>
      </c>
      <c r="E158">
        <v>198</v>
      </c>
      <c r="F158">
        <v>3950</v>
      </c>
      <c r="G158" t="s">
        <v>3</v>
      </c>
    </row>
    <row r="159" spans="1:7" x14ac:dyDescent="0.45">
      <c r="A159" t="s">
        <v>6</v>
      </c>
      <c r="B159" t="s">
        <v>5</v>
      </c>
      <c r="C159" s="1">
        <v>461</v>
      </c>
      <c r="D159" s="1">
        <v>182</v>
      </c>
      <c r="E159">
        <v>178</v>
      </c>
      <c r="F159">
        <v>3250</v>
      </c>
      <c r="G159" t="s">
        <v>3</v>
      </c>
    </row>
    <row r="160" spans="1:7" x14ac:dyDescent="0.45">
      <c r="A160" t="s">
        <v>6</v>
      </c>
      <c r="B160" t="s">
        <v>5</v>
      </c>
      <c r="C160" s="1">
        <v>513</v>
      </c>
      <c r="D160" s="1">
        <v>182</v>
      </c>
      <c r="E160">
        <v>197</v>
      </c>
      <c r="F160">
        <v>3750</v>
      </c>
      <c r="G160" t="s">
        <v>2</v>
      </c>
    </row>
    <row r="161" spans="1:7" x14ac:dyDescent="0.45">
      <c r="A161" t="s">
        <v>6</v>
      </c>
      <c r="B161" t="s">
        <v>5</v>
      </c>
      <c r="C161" s="1">
        <v>460</v>
      </c>
      <c r="D161" s="1">
        <v>189</v>
      </c>
      <c r="E161">
        <v>195</v>
      </c>
      <c r="F161">
        <v>4150</v>
      </c>
      <c r="G161" t="s">
        <v>3</v>
      </c>
    </row>
    <row r="162" spans="1:7" x14ac:dyDescent="0.45">
      <c r="A162" t="s">
        <v>6</v>
      </c>
      <c r="B162" t="s">
        <v>5</v>
      </c>
      <c r="C162" s="1">
        <v>513</v>
      </c>
      <c r="D162" s="1">
        <v>199</v>
      </c>
      <c r="E162">
        <v>198</v>
      </c>
      <c r="F162">
        <v>3700</v>
      </c>
      <c r="G162" t="s">
        <v>2</v>
      </c>
    </row>
    <row r="163" spans="1:7" x14ac:dyDescent="0.45">
      <c r="A163" t="s">
        <v>6</v>
      </c>
      <c r="B163" t="s">
        <v>5</v>
      </c>
      <c r="C163" s="1">
        <v>466</v>
      </c>
      <c r="D163" s="1">
        <v>178</v>
      </c>
      <c r="E163">
        <v>193</v>
      </c>
      <c r="F163">
        <v>3800</v>
      </c>
      <c r="G163" t="s">
        <v>3</v>
      </c>
    </row>
    <row r="164" spans="1:7" x14ac:dyDescent="0.45">
      <c r="A164" t="s">
        <v>6</v>
      </c>
      <c r="B164" t="s">
        <v>5</v>
      </c>
      <c r="C164" s="1">
        <v>517</v>
      </c>
      <c r="D164" s="1">
        <v>203</v>
      </c>
      <c r="E164">
        <v>194</v>
      </c>
      <c r="F164">
        <v>3775</v>
      </c>
      <c r="G164" t="s">
        <v>2</v>
      </c>
    </row>
    <row r="165" spans="1:7" x14ac:dyDescent="0.45">
      <c r="A165" t="s">
        <v>6</v>
      </c>
      <c r="B165" t="s">
        <v>5</v>
      </c>
      <c r="C165" s="1">
        <v>470</v>
      </c>
      <c r="D165" s="1">
        <v>173</v>
      </c>
      <c r="E165">
        <v>185</v>
      </c>
      <c r="F165">
        <v>3700</v>
      </c>
      <c r="G165" t="s">
        <v>3</v>
      </c>
    </row>
    <row r="166" spans="1:7" x14ac:dyDescent="0.45">
      <c r="A166" t="s">
        <v>6</v>
      </c>
      <c r="B166" t="s">
        <v>5</v>
      </c>
      <c r="C166" s="1">
        <v>520</v>
      </c>
      <c r="D166" s="1">
        <v>181</v>
      </c>
      <c r="E166">
        <v>201</v>
      </c>
      <c r="F166">
        <v>4050</v>
      </c>
      <c r="G166" t="s">
        <v>2</v>
      </c>
    </row>
    <row r="167" spans="1:7" x14ac:dyDescent="0.45">
      <c r="A167" t="s">
        <v>6</v>
      </c>
      <c r="B167" t="s">
        <v>5</v>
      </c>
      <c r="C167" s="1">
        <v>459</v>
      </c>
      <c r="D167" s="1">
        <v>171</v>
      </c>
      <c r="E167">
        <v>190</v>
      </c>
      <c r="F167">
        <v>3575</v>
      </c>
      <c r="G167" t="s">
        <v>3</v>
      </c>
    </row>
    <row r="168" spans="1:7" x14ac:dyDescent="0.45">
      <c r="A168" t="s">
        <v>6</v>
      </c>
      <c r="B168" t="s">
        <v>5</v>
      </c>
      <c r="C168" s="1">
        <v>505</v>
      </c>
      <c r="D168" s="1">
        <v>196</v>
      </c>
      <c r="E168">
        <v>201</v>
      </c>
      <c r="F168">
        <v>4050</v>
      </c>
      <c r="G168" t="s">
        <v>2</v>
      </c>
    </row>
    <row r="169" spans="1:7" x14ac:dyDescent="0.45">
      <c r="A169" t="s">
        <v>6</v>
      </c>
      <c r="B169" t="s">
        <v>5</v>
      </c>
      <c r="C169" s="1">
        <v>503</v>
      </c>
      <c r="D169" s="1">
        <v>200</v>
      </c>
      <c r="E169">
        <v>197</v>
      </c>
      <c r="F169">
        <v>3300</v>
      </c>
      <c r="G169" t="s">
        <v>2</v>
      </c>
    </row>
    <row r="170" spans="1:7" x14ac:dyDescent="0.45">
      <c r="A170" t="s">
        <v>6</v>
      </c>
      <c r="B170" t="s">
        <v>5</v>
      </c>
      <c r="C170" s="1">
        <v>580</v>
      </c>
      <c r="D170" s="1">
        <v>178</v>
      </c>
      <c r="E170">
        <v>181</v>
      </c>
      <c r="F170">
        <v>3700</v>
      </c>
      <c r="G170" t="s">
        <v>3</v>
      </c>
    </row>
    <row r="171" spans="1:7" x14ac:dyDescent="0.45">
      <c r="A171" t="s">
        <v>6</v>
      </c>
      <c r="B171" t="s">
        <v>5</v>
      </c>
      <c r="C171" s="1">
        <v>464</v>
      </c>
      <c r="D171" s="1">
        <v>186</v>
      </c>
      <c r="E171">
        <v>190</v>
      </c>
      <c r="F171">
        <v>3450</v>
      </c>
      <c r="G171" t="s">
        <v>3</v>
      </c>
    </row>
    <row r="172" spans="1:7" x14ac:dyDescent="0.45">
      <c r="A172" t="s">
        <v>6</v>
      </c>
      <c r="B172" t="s">
        <v>5</v>
      </c>
      <c r="C172" s="1">
        <v>492</v>
      </c>
      <c r="D172" s="1">
        <v>182</v>
      </c>
      <c r="E172">
        <v>195</v>
      </c>
      <c r="F172">
        <v>4400</v>
      </c>
      <c r="G172" t="s">
        <v>2</v>
      </c>
    </row>
    <row r="173" spans="1:7" x14ac:dyDescent="0.45">
      <c r="A173" t="s">
        <v>6</v>
      </c>
      <c r="B173" t="s">
        <v>5</v>
      </c>
      <c r="C173" s="1">
        <v>424</v>
      </c>
      <c r="D173" s="1">
        <v>173</v>
      </c>
      <c r="E173">
        <v>181</v>
      </c>
      <c r="F173">
        <v>3600</v>
      </c>
      <c r="G173" t="s">
        <v>3</v>
      </c>
    </row>
    <row r="174" spans="1:7" x14ac:dyDescent="0.45">
      <c r="A174" t="s">
        <v>6</v>
      </c>
      <c r="B174" t="s">
        <v>5</v>
      </c>
      <c r="C174" s="1">
        <v>485</v>
      </c>
      <c r="D174" s="1">
        <v>175</v>
      </c>
      <c r="E174">
        <v>191</v>
      </c>
      <c r="F174">
        <v>3400</v>
      </c>
      <c r="G174" t="s">
        <v>2</v>
      </c>
    </row>
    <row r="175" spans="1:7" x14ac:dyDescent="0.45">
      <c r="A175" t="s">
        <v>6</v>
      </c>
      <c r="B175" t="s">
        <v>5</v>
      </c>
      <c r="C175" s="1">
        <v>432</v>
      </c>
      <c r="D175" s="1">
        <v>166</v>
      </c>
      <c r="E175">
        <v>187</v>
      </c>
      <c r="F175">
        <v>2900</v>
      </c>
      <c r="G175" t="s">
        <v>3</v>
      </c>
    </row>
    <row r="176" spans="1:7" x14ac:dyDescent="0.45">
      <c r="A176" t="s">
        <v>6</v>
      </c>
      <c r="B176" t="s">
        <v>5</v>
      </c>
      <c r="C176" s="1">
        <v>506</v>
      </c>
      <c r="D176" s="1">
        <v>194</v>
      </c>
      <c r="E176">
        <v>193</v>
      </c>
      <c r="F176">
        <v>3800</v>
      </c>
      <c r="G176" t="s">
        <v>2</v>
      </c>
    </row>
    <row r="177" spans="1:7" x14ac:dyDescent="0.45">
      <c r="A177" t="s">
        <v>6</v>
      </c>
      <c r="B177" t="s">
        <v>5</v>
      </c>
      <c r="C177" s="1">
        <v>467</v>
      </c>
      <c r="D177" s="1">
        <v>179</v>
      </c>
      <c r="E177">
        <v>195</v>
      </c>
      <c r="F177">
        <v>3300</v>
      </c>
      <c r="G177" t="s">
        <v>3</v>
      </c>
    </row>
    <row r="178" spans="1:7" x14ac:dyDescent="0.45">
      <c r="A178" t="s">
        <v>6</v>
      </c>
      <c r="B178" t="s">
        <v>5</v>
      </c>
      <c r="C178" s="1">
        <v>520</v>
      </c>
      <c r="D178" s="1">
        <v>190</v>
      </c>
      <c r="E178">
        <v>197</v>
      </c>
      <c r="F178">
        <v>4150</v>
      </c>
      <c r="G178" t="s">
        <v>2</v>
      </c>
    </row>
    <row r="179" spans="1:7" x14ac:dyDescent="0.45">
      <c r="A179" t="s">
        <v>6</v>
      </c>
      <c r="B179" t="s">
        <v>5</v>
      </c>
      <c r="C179" s="1">
        <v>505</v>
      </c>
      <c r="D179" s="1">
        <v>184</v>
      </c>
      <c r="E179">
        <v>200</v>
      </c>
      <c r="F179">
        <v>3400</v>
      </c>
      <c r="G179" t="s">
        <v>3</v>
      </c>
    </row>
    <row r="180" spans="1:7" x14ac:dyDescent="0.45">
      <c r="A180" t="s">
        <v>6</v>
      </c>
      <c r="B180" t="s">
        <v>5</v>
      </c>
      <c r="C180" s="1">
        <v>495</v>
      </c>
      <c r="D180" s="1">
        <v>190</v>
      </c>
      <c r="E180">
        <v>200</v>
      </c>
      <c r="F180">
        <v>3800</v>
      </c>
      <c r="G180" t="s">
        <v>2</v>
      </c>
    </row>
    <row r="181" spans="1:7" x14ac:dyDescent="0.45">
      <c r="A181" t="s">
        <v>6</v>
      </c>
      <c r="B181" t="s">
        <v>5</v>
      </c>
      <c r="C181" s="1">
        <v>464</v>
      </c>
      <c r="D181" s="1">
        <v>178</v>
      </c>
      <c r="E181">
        <v>191</v>
      </c>
      <c r="F181">
        <v>3700</v>
      </c>
      <c r="G181" t="s">
        <v>3</v>
      </c>
    </row>
    <row r="182" spans="1:7" x14ac:dyDescent="0.45">
      <c r="A182" t="s">
        <v>6</v>
      </c>
      <c r="B182" t="s">
        <v>5</v>
      </c>
      <c r="C182" s="1">
        <v>528</v>
      </c>
      <c r="D182" s="1">
        <v>200</v>
      </c>
      <c r="E182">
        <v>205</v>
      </c>
      <c r="F182">
        <v>4550</v>
      </c>
      <c r="G182" t="s">
        <v>2</v>
      </c>
    </row>
    <row r="183" spans="1:7" x14ac:dyDescent="0.45">
      <c r="A183" t="s">
        <v>6</v>
      </c>
      <c r="B183" t="s">
        <v>5</v>
      </c>
      <c r="C183" s="1">
        <v>409</v>
      </c>
      <c r="D183" s="1">
        <v>166</v>
      </c>
      <c r="E183">
        <v>187</v>
      </c>
      <c r="F183">
        <v>3200</v>
      </c>
      <c r="G183" t="s">
        <v>3</v>
      </c>
    </row>
    <row r="184" spans="1:7" x14ac:dyDescent="0.45">
      <c r="A184" t="s">
        <v>6</v>
      </c>
      <c r="B184" t="s">
        <v>5</v>
      </c>
      <c r="C184" s="1">
        <v>542</v>
      </c>
      <c r="D184" s="1">
        <v>208</v>
      </c>
      <c r="E184">
        <v>201</v>
      </c>
      <c r="F184">
        <v>4300</v>
      </c>
      <c r="G184" t="s">
        <v>2</v>
      </c>
    </row>
    <row r="185" spans="1:7" x14ac:dyDescent="0.45">
      <c r="A185" t="s">
        <v>6</v>
      </c>
      <c r="B185" t="s">
        <v>5</v>
      </c>
      <c r="C185" s="1">
        <v>425</v>
      </c>
      <c r="D185" s="1">
        <v>167</v>
      </c>
      <c r="E185">
        <v>187</v>
      </c>
      <c r="F185">
        <v>3350</v>
      </c>
      <c r="G185" t="s">
        <v>3</v>
      </c>
    </row>
    <row r="186" spans="1:7" x14ac:dyDescent="0.45">
      <c r="A186" t="s">
        <v>6</v>
      </c>
      <c r="B186" t="s">
        <v>5</v>
      </c>
      <c r="C186" s="1">
        <v>510</v>
      </c>
      <c r="D186" s="1">
        <v>188</v>
      </c>
      <c r="E186">
        <v>203</v>
      </c>
      <c r="F186">
        <v>4100</v>
      </c>
      <c r="G186" t="s">
        <v>2</v>
      </c>
    </row>
    <row r="187" spans="1:7" x14ac:dyDescent="0.45">
      <c r="A187" t="s">
        <v>6</v>
      </c>
      <c r="B187" t="s">
        <v>5</v>
      </c>
      <c r="C187" s="1">
        <v>497</v>
      </c>
      <c r="D187" s="1">
        <v>186</v>
      </c>
      <c r="E187">
        <v>195</v>
      </c>
      <c r="F187">
        <v>3600</v>
      </c>
      <c r="G187" t="s">
        <v>2</v>
      </c>
    </row>
    <row r="188" spans="1:7" x14ac:dyDescent="0.45">
      <c r="A188" t="s">
        <v>6</v>
      </c>
      <c r="B188" t="s">
        <v>5</v>
      </c>
      <c r="C188" s="1">
        <v>475</v>
      </c>
      <c r="D188" s="1">
        <v>168</v>
      </c>
      <c r="E188">
        <v>199</v>
      </c>
      <c r="F188">
        <v>3900</v>
      </c>
      <c r="G188" t="s">
        <v>3</v>
      </c>
    </row>
    <row r="189" spans="1:7" x14ac:dyDescent="0.45">
      <c r="A189" t="s">
        <v>6</v>
      </c>
      <c r="B189" t="s">
        <v>5</v>
      </c>
      <c r="C189" s="1">
        <v>476</v>
      </c>
      <c r="D189" s="1">
        <v>183</v>
      </c>
      <c r="E189">
        <v>195</v>
      </c>
      <c r="F189">
        <v>3850</v>
      </c>
      <c r="G189" t="s">
        <v>3</v>
      </c>
    </row>
    <row r="190" spans="1:7" x14ac:dyDescent="0.45">
      <c r="A190" t="s">
        <v>6</v>
      </c>
      <c r="B190" t="s">
        <v>5</v>
      </c>
      <c r="C190" s="1">
        <v>520</v>
      </c>
      <c r="D190" s="1">
        <v>207</v>
      </c>
      <c r="E190">
        <v>210</v>
      </c>
      <c r="F190">
        <v>4800</v>
      </c>
      <c r="G190" t="s">
        <v>2</v>
      </c>
    </row>
    <row r="191" spans="1:7" x14ac:dyDescent="0.45">
      <c r="A191" t="s">
        <v>6</v>
      </c>
      <c r="B191" t="s">
        <v>5</v>
      </c>
      <c r="C191" s="1">
        <v>469</v>
      </c>
      <c r="D191" s="1">
        <v>166</v>
      </c>
      <c r="E191">
        <v>192</v>
      </c>
      <c r="F191">
        <v>2700</v>
      </c>
      <c r="G191" t="s">
        <v>3</v>
      </c>
    </row>
    <row r="192" spans="1:7" x14ac:dyDescent="0.45">
      <c r="A192" t="s">
        <v>6</v>
      </c>
      <c r="B192" t="s">
        <v>5</v>
      </c>
      <c r="C192" s="1">
        <v>535</v>
      </c>
      <c r="D192" s="1">
        <v>199</v>
      </c>
      <c r="E192">
        <v>205</v>
      </c>
      <c r="F192">
        <v>4500</v>
      </c>
      <c r="G192" t="s">
        <v>2</v>
      </c>
    </row>
    <row r="193" spans="1:7" x14ac:dyDescent="0.45">
      <c r="A193" t="s">
        <v>6</v>
      </c>
      <c r="B193" t="s">
        <v>5</v>
      </c>
      <c r="C193" s="1">
        <v>490</v>
      </c>
      <c r="D193" s="1">
        <v>195</v>
      </c>
      <c r="E193">
        <v>210</v>
      </c>
      <c r="F193">
        <v>3950</v>
      </c>
      <c r="G193" t="s">
        <v>2</v>
      </c>
    </row>
    <row r="194" spans="1:7" x14ac:dyDescent="0.45">
      <c r="A194" t="s">
        <v>6</v>
      </c>
      <c r="B194" t="s">
        <v>5</v>
      </c>
      <c r="C194" s="1">
        <v>462</v>
      </c>
      <c r="D194" s="1">
        <v>175</v>
      </c>
      <c r="E194">
        <v>187</v>
      </c>
      <c r="F194">
        <v>3650</v>
      </c>
      <c r="G194" t="s">
        <v>3</v>
      </c>
    </row>
    <row r="195" spans="1:7" x14ac:dyDescent="0.45">
      <c r="A195" t="s">
        <v>6</v>
      </c>
      <c r="B195" t="s">
        <v>5</v>
      </c>
      <c r="C195" s="1">
        <v>509</v>
      </c>
      <c r="D195" s="1">
        <v>191</v>
      </c>
      <c r="E195">
        <v>196</v>
      </c>
      <c r="F195">
        <v>3550</v>
      </c>
      <c r="G195" t="s">
        <v>2</v>
      </c>
    </row>
    <row r="196" spans="1:7" x14ac:dyDescent="0.45">
      <c r="A196" t="s">
        <v>6</v>
      </c>
      <c r="B196" t="s">
        <v>5</v>
      </c>
      <c r="C196" s="1">
        <v>455</v>
      </c>
      <c r="D196" s="1">
        <v>170</v>
      </c>
      <c r="E196">
        <v>196</v>
      </c>
      <c r="F196">
        <v>3500</v>
      </c>
      <c r="G196" t="s">
        <v>3</v>
      </c>
    </row>
    <row r="197" spans="1:7" x14ac:dyDescent="0.45">
      <c r="A197" t="s">
        <v>6</v>
      </c>
      <c r="B197" t="s">
        <v>5</v>
      </c>
      <c r="C197" s="1">
        <v>509</v>
      </c>
      <c r="D197" s="1">
        <v>179</v>
      </c>
      <c r="E197">
        <v>196</v>
      </c>
      <c r="F197">
        <v>3675</v>
      </c>
      <c r="G197" t="s">
        <v>3</v>
      </c>
    </row>
    <row r="198" spans="1:7" x14ac:dyDescent="0.45">
      <c r="A198" t="s">
        <v>6</v>
      </c>
      <c r="B198" t="s">
        <v>5</v>
      </c>
      <c r="C198" s="1">
        <v>508</v>
      </c>
      <c r="D198" s="1">
        <v>185</v>
      </c>
      <c r="E198">
        <v>201</v>
      </c>
      <c r="F198">
        <v>4450</v>
      </c>
      <c r="G198" t="s">
        <v>2</v>
      </c>
    </row>
    <row r="199" spans="1:7" x14ac:dyDescent="0.45">
      <c r="A199" t="s">
        <v>6</v>
      </c>
      <c r="B199" t="s">
        <v>5</v>
      </c>
      <c r="C199" s="1">
        <v>501</v>
      </c>
      <c r="D199" s="1">
        <v>179</v>
      </c>
      <c r="E199">
        <v>190</v>
      </c>
      <c r="F199">
        <v>3400</v>
      </c>
      <c r="G199" t="s">
        <v>3</v>
      </c>
    </row>
    <row r="200" spans="1:7" x14ac:dyDescent="0.45">
      <c r="A200" t="s">
        <v>6</v>
      </c>
      <c r="B200" t="s">
        <v>5</v>
      </c>
      <c r="C200" s="1">
        <v>490</v>
      </c>
      <c r="D200" s="1">
        <v>196</v>
      </c>
      <c r="E200">
        <v>212</v>
      </c>
      <c r="F200">
        <v>4300</v>
      </c>
      <c r="G200" t="s">
        <v>2</v>
      </c>
    </row>
    <row r="201" spans="1:7" x14ac:dyDescent="0.45">
      <c r="A201" t="s">
        <v>6</v>
      </c>
      <c r="B201" t="s">
        <v>5</v>
      </c>
      <c r="C201" s="1">
        <v>515</v>
      </c>
      <c r="D201" s="1">
        <v>187</v>
      </c>
      <c r="E201">
        <v>187</v>
      </c>
      <c r="F201">
        <v>3250</v>
      </c>
      <c r="G201" t="s">
        <v>2</v>
      </c>
    </row>
    <row r="202" spans="1:7" x14ac:dyDescent="0.45">
      <c r="A202" t="s">
        <v>6</v>
      </c>
      <c r="B202" t="s">
        <v>5</v>
      </c>
      <c r="C202" s="1">
        <v>498</v>
      </c>
      <c r="D202" s="1">
        <v>173</v>
      </c>
      <c r="E202">
        <v>198</v>
      </c>
      <c r="F202">
        <v>3675</v>
      </c>
      <c r="G202" t="s">
        <v>3</v>
      </c>
    </row>
    <row r="203" spans="1:7" x14ac:dyDescent="0.45">
      <c r="A203" t="s">
        <v>6</v>
      </c>
      <c r="B203" t="s">
        <v>5</v>
      </c>
      <c r="C203" s="1">
        <v>481</v>
      </c>
      <c r="D203" s="1">
        <v>164</v>
      </c>
      <c r="E203">
        <v>199</v>
      </c>
      <c r="F203">
        <v>3325</v>
      </c>
      <c r="G203" t="s">
        <v>3</v>
      </c>
    </row>
    <row r="204" spans="1:7" x14ac:dyDescent="0.45">
      <c r="A204" t="s">
        <v>6</v>
      </c>
      <c r="B204" t="s">
        <v>5</v>
      </c>
      <c r="C204" s="1">
        <v>514</v>
      </c>
      <c r="D204" s="1">
        <v>190</v>
      </c>
      <c r="E204">
        <v>201</v>
      </c>
      <c r="F204">
        <v>3950</v>
      </c>
      <c r="G204" t="s">
        <v>2</v>
      </c>
    </row>
    <row r="205" spans="1:7" x14ac:dyDescent="0.45">
      <c r="A205" t="s">
        <v>6</v>
      </c>
      <c r="B205" t="s">
        <v>5</v>
      </c>
      <c r="C205" s="1">
        <v>457</v>
      </c>
      <c r="D205" s="1">
        <v>173</v>
      </c>
      <c r="E205">
        <v>193</v>
      </c>
      <c r="F205">
        <v>3600</v>
      </c>
      <c r="G205" t="s">
        <v>3</v>
      </c>
    </row>
    <row r="206" spans="1:7" x14ac:dyDescent="0.45">
      <c r="A206" t="s">
        <v>6</v>
      </c>
      <c r="B206" t="s">
        <v>5</v>
      </c>
      <c r="C206" s="1">
        <v>507</v>
      </c>
      <c r="D206" s="1">
        <v>197</v>
      </c>
      <c r="E206">
        <v>203</v>
      </c>
      <c r="F206">
        <v>4050</v>
      </c>
      <c r="G206" t="s">
        <v>2</v>
      </c>
    </row>
    <row r="207" spans="1:7" x14ac:dyDescent="0.45">
      <c r="A207" t="s">
        <v>6</v>
      </c>
      <c r="B207" t="s">
        <v>5</v>
      </c>
      <c r="C207" s="1">
        <v>425</v>
      </c>
      <c r="D207" s="1">
        <v>173</v>
      </c>
      <c r="E207">
        <v>187</v>
      </c>
      <c r="F207">
        <v>3350</v>
      </c>
      <c r="G207" t="s">
        <v>3</v>
      </c>
    </row>
    <row r="208" spans="1:7" x14ac:dyDescent="0.45">
      <c r="A208" t="s">
        <v>6</v>
      </c>
      <c r="B208" t="s">
        <v>5</v>
      </c>
      <c r="C208" s="1">
        <v>522</v>
      </c>
      <c r="D208" s="1">
        <v>188</v>
      </c>
      <c r="E208">
        <v>197</v>
      </c>
      <c r="F208">
        <v>3450</v>
      </c>
      <c r="G208" t="s">
        <v>2</v>
      </c>
    </row>
    <row r="209" spans="1:7" x14ac:dyDescent="0.45">
      <c r="A209" t="s">
        <v>6</v>
      </c>
      <c r="B209" t="s">
        <v>5</v>
      </c>
      <c r="C209" s="1">
        <v>452</v>
      </c>
      <c r="D209" s="1">
        <v>166</v>
      </c>
      <c r="E209">
        <v>191</v>
      </c>
      <c r="F209">
        <v>3250</v>
      </c>
      <c r="G209" t="s">
        <v>3</v>
      </c>
    </row>
    <row r="210" spans="1:7" x14ac:dyDescent="0.45">
      <c r="A210" t="s">
        <v>6</v>
      </c>
      <c r="B210" t="s">
        <v>5</v>
      </c>
      <c r="C210" s="1">
        <v>493</v>
      </c>
      <c r="D210" s="1">
        <v>199</v>
      </c>
      <c r="E210">
        <v>203</v>
      </c>
      <c r="F210">
        <v>4050</v>
      </c>
      <c r="G210" t="s">
        <v>2</v>
      </c>
    </row>
    <row r="211" spans="1:7" x14ac:dyDescent="0.45">
      <c r="A211" t="s">
        <v>6</v>
      </c>
      <c r="B211" t="s">
        <v>5</v>
      </c>
      <c r="C211" s="1">
        <v>502</v>
      </c>
      <c r="D211" s="1">
        <v>188</v>
      </c>
      <c r="E211">
        <v>202</v>
      </c>
      <c r="F211">
        <v>3800</v>
      </c>
      <c r="G211" t="s">
        <v>2</v>
      </c>
    </row>
    <row r="212" spans="1:7" x14ac:dyDescent="0.45">
      <c r="A212" t="s">
        <v>6</v>
      </c>
      <c r="B212" t="s">
        <v>5</v>
      </c>
      <c r="C212" s="1">
        <v>456</v>
      </c>
      <c r="D212" s="1">
        <v>194</v>
      </c>
      <c r="E212">
        <v>194</v>
      </c>
      <c r="F212">
        <v>3525</v>
      </c>
      <c r="G212" t="s">
        <v>3</v>
      </c>
    </row>
    <row r="213" spans="1:7" x14ac:dyDescent="0.45">
      <c r="A213" t="s">
        <v>6</v>
      </c>
      <c r="B213" t="s">
        <v>5</v>
      </c>
      <c r="C213" s="1">
        <v>519</v>
      </c>
      <c r="D213" s="1">
        <v>195</v>
      </c>
      <c r="E213">
        <v>206</v>
      </c>
      <c r="F213">
        <v>3950</v>
      </c>
      <c r="G213" t="s">
        <v>2</v>
      </c>
    </row>
    <row r="214" spans="1:7" x14ac:dyDescent="0.45">
      <c r="A214" t="s">
        <v>6</v>
      </c>
      <c r="B214" t="s">
        <v>5</v>
      </c>
      <c r="C214" s="1">
        <v>468</v>
      </c>
      <c r="D214" s="1">
        <v>165</v>
      </c>
      <c r="E214">
        <v>189</v>
      </c>
      <c r="F214">
        <v>3650</v>
      </c>
      <c r="G214" t="s">
        <v>3</v>
      </c>
    </row>
    <row r="215" spans="1:7" x14ac:dyDescent="0.45">
      <c r="A215" t="s">
        <v>6</v>
      </c>
      <c r="B215" t="s">
        <v>5</v>
      </c>
      <c r="C215" s="1">
        <v>457</v>
      </c>
      <c r="D215" s="1">
        <v>170</v>
      </c>
      <c r="E215">
        <v>195</v>
      </c>
      <c r="F215">
        <v>3650</v>
      </c>
      <c r="G215" t="s">
        <v>3</v>
      </c>
    </row>
    <row r="216" spans="1:7" x14ac:dyDescent="0.45">
      <c r="A216" t="s">
        <v>6</v>
      </c>
      <c r="B216" t="s">
        <v>5</v>
      </c>
      <c r="C216" s="1">
        <v>558</v>
      </c>
      <c r="D216" s="1">
        <v>198</v>
      </c>
      <c r="E216">
        <v>207</v>
      </c>
      <c r="F216">
        <v>4000</v>
      </c>
      <c r="G216" t="s">
        <v>2</v>
      </c>
    </row>
    <row r="217" spans="1:7" x14ac:dyDescent="0.45">
      <c r="A217" t="s">
        <v>6</v>
      </c>
      <c r="B217" t="s">
        <v>5</v>
      </c>
      <c r="C217" s="1">
        <v>435</v>
      </c>
      <c r="D217" s="1">
        <v>181</v>
      </c>
      <c r="E217">
        <v>202</v>
      </c>
      <c r="F217">
        <v>3400</v>
      </c>
      <c r="G217" t="s">
        <v>3</v>
      </c>
    </row>
    <row r="218" spans="1:7" x14ac:dyDescent="0.45">
      <c r="A218" t="s">
        <v>6</v>
      </c>
      <c r="B218" t="s">
        <v>5</v>
      </c>
      <c r="C218" s="1">
        <v>496</v>
      </c>
      <c r="D218" s="1">
        <v>182</v>
      </c>
      <c r="E218">
        <v>193</v>
      </c>
      <c r="F218">
        <v>3775</v>
      </c>
      <c r="G218" t="s">
        <v>2</v>
      </c>
    </row>
    <row r="219" spans="1:7" x14ac:dyDescent="0.45">
      <c r="A219" t="s">
        <v>6</v>
      </c>
      <c r="B219" t="s">
        <v>5</v>
      </c>
      <c r="C219" s="1">
        <v>508</v>
      </c>
      <c r="D219" s="1">
        <v>190</v>
      </c>
      <c r="E219">
        <v>210</v>
      </c>
      <c r="F219">
        <v>4100</v>
      </c>
      <c r="G219" t="s">
        <v>2</v>
      </c>
    </row>
    <row r="220" spans="1:7" x14ac:dyDescent="0.45">
      <c r="A220" t="s">
        <v>6</v>
      </c>
      <c r="B220" t="s">
        <v>5</v>
      </c>
      <c r="C220" s="1">
        <v>502</v>
      </c>
      <c r="D220" s="1">
        <v>187</v>
      </c>
      <c r="E220">
        <v>198</v>
      </c>
      <c r="F220">
        <v>3775</v>
      </c>
      <c r="G220" t="s">
        <v>3</v>
      </c>
    </row>
    <row r="221" spans="1:7" x14ac:dyDescent="0.45">
      <c r="A221" t="s">
        <v>7</v>
      </c>
      <c r="B221" t="s">
        <v>4</v>
      </c>
      <c r="C221" s="1">
        <v>461</v>
      </c>
      <c r="D221" s="1">
        <v>132</v>
      </c>
      <c r="E221">
        <v>211</v>
      </c>
      <c r="F221">
        <v>4500</v>
      </c>
      <c r="G221" t="s">
        <v>3</v>
      </c>
    </row>
    <row r="222" spans="1:7" x14ac:dyDescent="0.45">
      <c r="A222" t="s">
        <v>7</v>
      </c>
      <c r="B222" t="s">
        <v>4</v>
      </c>
      <c r="C222" s="1">
        <v>500</v>
      </c>
      <c r="D222" s="1">
        <v>163</v>
      </c>
      <c r="E222">
        <v>230</v>
      </c>
      <c r="F222">
        <v>5700</v>
      </c>
      <c r="G222" t="s">
        <v>2</v>
      </c>
    </row>
    <row r="223" spans="1:7" x14ac:dyDescent="0.45">
      <c r="A223" t="s">
        <v>7</v>
      </c>
      <c r="B223" t="s">
        <v>4</v>
      </c>
      <c r="C223" s="1">
        <v>487</v>
      </c>
      <c r="D223" s="1">
        <v>141</v>
      </c>
      <c r="E223">
        <v>210</v>
      </c>
      <c r="F223">
        <v>4450</v>
      </c>
      <c r="G223" t="s">
        <v>3</v>
      </c>
    </row>
    <row r="224" spans="1:7" x14ac:dyDescent="0.45">
      <c r="A224" t="s">
        <v>7</v>
      </c>
      <c r="B224" t="s">
        <v>4</v>
      </c>
      <c r="C224" s="1">
        <v>500</v>
      </c>
      <c r="D224" s="1">
        <v>152</v>
      </c>
      <c r="E224">
        <v>218</v>
      </c>
      <c r="F224">
        <v>5700</v>
      </c>
      <c r="G224" t="s">
        <v>2</v>
      </c>
    </row>
    <row r="225" spans="1:7" x14ac:dyDescent="0.45">
      <c r="A225" t="s">
        <v>7</v>
      </c>
      <c r="B225" t="s">
        <v>4</v>
      </c>
      <c r="C225" s="1">
        <v>476</v>
      </c>
      <c r="D225" s="1">
        <v>145</v>
      </c>
      <c r="E225">
        <v>215</v>
      </c>
      <c r="F225">
        <v>5400</v>
      </c>
      <c r="G225" t="s">
        <v>2</v>
      </c>
    </row>
    <row r="226" spans="1:7" x14ac:dyDescent="0.45">
      <c r="A226" t="s">
        <v>7</v>
      </c>
      <c r="B226" t="s">
        <v>4</v>
      </c>
      <c r="C226" s="1">
        <v>465</v>
      </c>
      <c r="D226" s="1">
        <v>135</v>
      </c>
      <c r="E226">
        <v>210</v>
      </c>
      <c r="F226">
        <v>4550</v>
      </c>
      <c r="G226" t="s">
        <v>3</v>
      </c>
    </row>
    <row r="227" spans="1:7" x14ac:dyDescent="0.45">
      <c r="A227" t="s">
        <v>7</v>
      </c>
      <c r="B227" t="s">
        <v>4</v>
      </c>
      <c r="C227" s="1">
        <v>454</v>
      </c>
      <c r="D227" s="1">
        <v>146</v>
      </c>
      <c r="E227">
        <v>211</v>
      </c>
      <c r="F227">
        <v>4800</v>
      </c>
      <c r="G227" t="s">
        <v>3</v>
      </c>
    </row>
    <row r="228" spans="1:7" x14ac:dyDescent="0.45">
      <c r="A228" t="s">
        <v>7</v>
      </c>
      <c r="B228" t="s">
        <v>4</v>
      </c>
      <c r="C228" s="1">
        <v>467</v>
      </c>
      <c r="D228" s="1">
        <v>153</v>
      </c>
      <c r="E228">
        <v>219</v>
      </c>
      <c r="F228">
        <v>5200</v>
      </c>
      <c r="G228" t="s">
        <v>2</v>
      </c>
    </row>
    <row r="229" spans="1:7" x14ac:dyDescent="0.45">
      <c r="A229" t="s">
        <v>7</v>
      </c>
      <c r="B229" t="s">
        <v>4</v>
      </c>
      <c r="C229" s="1">
        <v>433</v>
      </c>
      <c r="D229" s="1">
        <v>134</v>
      </c>
      <c r="E229">
        <v>209</v>
      </c>
      <c r="F229">
        <v>4400</v>
      </c>
      <c r="G229" t="s">
        <v>3</v>
      </c>
    </row>
    <row r="230" spans="1:7" x14ac:dyDescent="0.45">
      <c r="A230" t="s">
        <v>7</v>
      </c>
      <c r="B230" t="s">
        <v>4</v>
      </c>
      <c r="C230" s="1">
        <v>468</v>
      </c>
      <c r="D230" s="1">
        <v>154</v>
      </c>
      <c r="E230">
        <v>215</v>
      </c>
      <c r="F230">
        <v>5150</v>
      </c>
      <c r="G230" t="s">
        <v>2</v>
      </c>
    </row>
    <row r="231" spans="1:7" x14ac:dyDescent="0.45">
      <c r="A231" t="s">
        <v>7</v>
      </c>
      <c r="B231" t="s">
        <v>4</v>
      </c>
      <c r="C231" s="1">
        <v>409</v>
      </c>
      <c r="D231" s="1">
        <v>137</v>
      </c>
      <c r="E231">
        <v>214</v>
      </c>
      <c r="F231">
        <v>4650</v>
      </c>
      <c r="G231" t="s">
        <v>3</v>
      </c>
    </row>
    <row r="232" spans="1:7" x14ac:dyDescent="0.45">
      <c r="A232" t="s">
        <v>7</v>
      </c>
      <c r="B232" t="s">
        <v>4</v>
      </c>
      <c r="C232" s="1">
        <v>490</v>
      </c>
      <c r="D232" s="1">
        <v>161</v>
      </c>
      <c r="E232">
        <v>216</v>
      </c>
      <c r="F232">
        <v>5550</v>
      </c>
      <c r="G232" t="s">
        <v>2</v>
      </c>
    </row>
    <row r="233" spans="1:7" x14ac:dyDescent="0.45">
      <c r="A233" t="s">
        <v>7</v>
      </c>
      <c r="B233" t="s">
        <v>4</v>
      </c>
      <c r="C233" s="1">
        <v>455</v>
      </c>
      <c r="D233" s="1">
        <v>137</v>
      </c>
      <c r="E233">
        <v>214</v>
      </c>
      <c r="F233">
        <v>4650</v>
      </c>
      <c r="G233" t="s">
        <v>3</v>
      </c>
    </row>
    <row r="234" spans="1:7" x14ac:dyDescent="0.45">
      <c r="A234" t="s">
        <v>7</v>
      </c>
      <c r="B234" t="s">
        <v>4</v>
      </c>
      <c r="C234" s="1">
        <v>484</v>
      </c>
      <c r="D234" s="1">
        <v>146</v>
      </c>
      <c r="E234">
        <v>213</v>
      </c>
      <c r="F234">
        <v>5850</v>
      </c>
      <c r="G234" t="s">
        <v>2</v>
      </c>
    </row>
    <row r="235" spans="1:7" x14ac:dyDescent="0.45">
      <c r="A235" t="s">
        <v>7</v>
      </c>
      <c r="B235" t="s">
        <v>4</v>
      </c>
      <c r="C235" s="1">
        <v>458</v>
      </c>
      <c r="D235" s="1">
        <v>146</v>
      </c>
      <c r="E235">
        <v>210</v>
      </c>
      <c r="F235">
        <v>4200</v>
      </c>
      <c r="G235" t="s">
        <v>3</v>
      </c>
    </row>
    <row r="236" spans="1:7" x14ac:dyDescent="0.45">
      <c r="A236" t="s">
        <v>7</v>
      </c>
      <c r="B236" t="s">
        <v>4</v>
      </c>
      <c r="C236" s="1">
        <v>493</v>
      </c>
      <c r="D236" s="1">
        <v>157</v>
      </c>
      <c r="E236">
        <v>217</v>
      </c>
      <c r="F236">
        <v>5850</v>
      </c>
      <c r="G236" t="s">
        <v>2</v>
      </c>
    </row>
    <row r="237" spans="1:7" x14ac:dyDescent="0.45">
      <c r="A237" t="s">
        <v>7</v>
      </c>
      <c r="B237" t="s">
        <v>4</v>
      </c>
      <c r="C237" s="1">
        <v>420</v>
      </c>
      <c r="D237" s="1">
        <v>135</v>
      </c>
      <c r="E237">
        <v>210</v>
      </c>
      <c r="F237">
        <v>4150</v>
      </c>
      <c r="G237" t="s">
        <v>3</v>
      </c>
    </row>
    <row r="238" spans="1:7" x14ac:dyDescent="0.45">
      <c r="A238" t="s">
        <v>7</v>
      </c>
      <c r="B238" t="s">
        <v>4</v>
      </c>
      <c r="C238" s="1">
        <v>492</v>
      </c>
      <c r="D238" s="1">
        <v>152</v>
      </c>
      <c r="E238">
        <v>221</v>
      </c>
      <c r="F238">
        <v>6300</v>
      </c>
      <c r="G238" t="s">
        <v>2</v>
      </c>
    </row>
    <row r="239" spans="1:7" x14ac:dyDescent="0.45">
      <c r="A239" t="s">
        <v>7</v>
      </c>
      <c r="B239" t="s">
        <v>4</v>
      </c>
      <c r="C239" s="1">
        <v>462</v>
      </c>
      <c r="D239" s="1">
        <v>145</v>
      </c>
      <c r="E239">
        <v>209</v>
      </c>
      <c r="F239">
        <v>4800</v>
      </c>
      <c r="G239" t="s">
        <v>3</v>
      </c>
    </row>
    <row r="240" spans="1:7" x14ac:dyDescent="0.45">
      <c r="A240" t="s">
        <v>7</v>
      </c>
      <c r="B240" t="s">
        <v>4</v>
      </c>
      <c r="C240" s="1">
        <v>487</v>
      </c>
      <c r="D240" s="1">
        <v>151</v>
      </c>
      <c r="E240">
        <v>222</v>
      </c>
      <c r="F240">
        <v>5350</v>
      </c>
      <c r="G240" t="s">
        <v>2</v>
      </c>
    </row>
    <row r="241" spans="1:7" x14ac:dyDescent="0.45">
      <c r="A241" t="s">
        <v>7</v>
      </c>
      <c r="B241" t="s">
        <v>4</v>
      </c>
      <c r="C241" s="1">
        <v>502</v>
      </c>
      <c r="D241" s="1">
        <v>143</v>
      </c>
      <c r="E241">
        <v>218</v>
      </c>
      <c r="F241">
        <v>5700</v>
      </c>
      <c r="G241" t="s">
        <v>2</v>
      </c>
    </row>
    <row r="242" spans="1:7" x14ac:dyDescent="0.45">
      <c r="A242" t="s">
        <v>7</v>
      </c>
      <c r="B242" t="s">
        <v>4</v>
      </c>
      <c r="C242" s="1">
        <v>451</v>
      </c>
      <c r="D242" s="1">
        <v>145</v>
      </c>
      <c r="E242">
        <v>215</v>
      </c>
      <c r="F242">
        <v>5000</v>
      </c>
      <c r="G242" t="s">
        <v>3</v>
      </c>
    </row>
    <row r="243" spans="1:7" x14ac:dyDescent="0.45">
      <c r="A243" t="s">
        <v>7</v>
      </c>
      <c r="B243" t="s">
        <v>4</v>
      </c>
      <c r="C243" s="1">
        <v>465</v>
      </c>
      <c r="D243" s="1">
        <v>145</v>
      </c>
      <c r="E243">
        <v>213</v>
      </c>
      <c r="F243">
        <v>4400</v>
      </c>
      <c r="G243" t="s">
        <v>3</v>
      </c>
    </row>
    <row r="244" spans="1:7" x14ac:dyDescent="0.45">
      <c r="A244" t="s">
        <v>7</v>
      </c>
      <c r="B244" t="s">
        <v>4</v>
      </c>
      <c r="C244" s="1">
        <v>463</v>
      </c>
      <c r="D244" s="1">
        <v>158</v>
      </c>
      <c r="E244">
        <v>215</v>
      </c>
      <c r="F244">
        <v>5050</v>
      </c>
      <c r="G244" t="s">
        <v>2</v>
      </c>
    </row>
    <row r="245" spans="1:7" x14ac:dyDescent="0.45">
      <c r="A245" t="s">
        <v>7</v>
      </c>
      <c r="B245" t="s">
        <v>4</v>
      </c>
      <c r="C245" s="1">
        <v>429</v>
      </c>
      <c r="D245" s="1">
        <v>131</v>
      </c>
      <c r="E245">
        <v>215</v>
      </c>
      <c r="F245">
        <v>5000</v>
      </c>
      <c r="G245" t="s">
        <v>3</v>
      </c>
    </row>
    <row r="246" spans="1:7" x14ac:dyDescent="0.45">
      <c r="A246" t="s">
        <v>7</v>
      </c>
      <c r="B246" t="s">
        <v>4</v>
      </c>
      <c r="C246" s="1">
        <v>461</v>
      </c>
      <c r="D246" s="1">
        <v>151</v>
      </c>
      <c r="E246">
        <v>215</v>
      </c>
      <c r="F246">
        <v>5100</v>
      </c>
      <c r="G246" t="s">
        <v>2</v>
      </c>
    </row>
    <row r="247" spans="1:7" x14ac:dyDescent="0.45">
      <c r="A247" t="s">
        <v>7</v>
      </c>
      <c r="B247" t="s">
        <v>4</v>
      </c>
      <c r="C247" s="1">
        <v>445</v>
      </c>
      <c r="D247" s="1">
        <v>143</v>
      </c>
      <c r="E247">
        <v>216</v>
      </c>
      <c r="F247">
        <v>4100</v>
      </c>
      <c r="G247" t="s">
        <v>3</v>
      </c>
    </row>
    <row r="248" spans="1:7" x14ac:dyDescent="0.45">
      <c r="A248" t="s">
        <v>7</v>
      </c>
      <c r="B248" t="s">
        <v>4</v>
      </c>
      <c r="C248" s="1">
        <v>478</v>
      </c>
      <c r="D248" s="1">
        <v>150</v>
      </c>
      <c r="E248">
        <v>215</v>
      </c>
      <c r="F248">
        <v>5650</v>
      </c>
      <c r="G248" t="s">
        <v>2</v>
      </c>
    </row>
    <row r="249" spans="1:7" x14ac:dyDescent="0.45">
      <c r="A249" t="s">
        <v>7</v>
      </c>
      <c r="B249" t="s">
        <v>4</v>
      </c>
      <c r="C249" s="1">
        <v>482</v>
      </c>
      <c r="D249" s="1">
        <v>143</v>
      </c>
      <c r="E249">
        <v>210</v>
      </c>
      <c r="F249">
        <v>4600</v>
      </c>
      <c r="G249" t="s">
        <v>3</v>
      </c>
    </row>
    <row r="250" spans="1:7" x14ac:dyDescent="0.45">
      <c r="A250" t="s">
        <v>7</v>
      </c>
      <c r="B250" t="s">
        <v>4</v>
      </c>
      <c r="C250" s="1">
        <v>500</v>
      </c>
      <c r="D250" s="1">
        <v>153</v>
      </c>
      <c r="E250">
        <v>220</v>
      </c>
      <c r="F250">
        <v>5550</v>
      </c>
      <c r="G250" t="s">
        <v>2</v>
      </c>
    </row>
    <row r="251" spans="1:7" x14ac:dyDescent="0.45">
      <c r="A251" t="s">
        <v>7</v>
      </c>
      <c r="B251" t="s">
        <v>4</v>
      </c>
      <c r="C251" s="1">
        <v>473</v>
      </c>
      <c r="D251" s="1">
        <v>153</v>
      </c>
      <c r="E251">
        <v>222</v>
      </c>
      <c r="F251">
        <v>5250</v>
      </c>
      <c r="G251" t="s">
        <v>2</v>
      </c>
    </row>
    <row r="252" spans="1:7" x14ac:dyDescent="0.45">
      <c r="A252" t="s">
        <v>7</v>
      </c>
      <c r="B252" t="s">
        <v>4</v>
      </c>
      <c r="C252" s="1">
        <v>428</v>
      </c>
      <c r="D252" s="1">
        <v>142</v>
      </c>
      <c r="E252">
        <v>209</v>
      </c>
      <c r="F252">
        <v>4700</v>
      </c>
      <c r="G252" t="s">
        <v>3</v>
      </c>
    </row>
    <row r="253" spans="1:7" x14ac:dyDescent="0.45">
      <c r="A253" t="s">
        <v>7</v>
      </c>
      <c r="B253" t="s">
        <v>4</v>
      </c>
      <c r="C253" s="1">
        <v>451</v>
      </c>
      <c r="D253" s="1">
        <v>145</v>
      </c>
      <c r="E253">
        <v>207</v>
      </c>
      <c r="F253">
        <v>5050</v>
      </c>
      <c r="G253" t="s">
        <v>3</v>
      </c>
    </row>
    <row r="254" spans="1:7" x14ac:dyDescent="0.45">
      <c r="A254" t="s">
        <v>7</v>
      </c>
      <c r="B254" t="s">
        <v>4</v>
      </c>
      <c r="C254" s="1">
        <v>596</v>
      </c>
      <c r="D254" s="1">
        <v>170</v>
      </c>
      <c r="E254">
        <v>230</v>
      </c>
      <c r="F254">
        <v>6050</v>
      </c>
      <c r="G254" t="s">
        <v>2</v>
      </c>
    </row>
    <row r="255" spans="1:7" x14ac:dyDescent="0.45">
      <c r="A255" t="s">
        <v>7</v>
      </c>
      <c r="B255" t="s">
        <v>4</v>
      </c>
      <c r="C255" s="1">
        <v>491</v>
      </c>
      <c r="D255" s="1">
        <v>148</v>
      </c>
      <c r="E255">
        <v>220</v>
      </c>
      <c r="F255">
        <v>5150</v>
      </c>
      <c r="G255" t="s">
        <v>3</v>
      </c>
    </row>
    <row r="256" spans="1:7" x14ac:dyDescent="0.45">
      <c r="A256" t="s">
        <v>7</v>
      </c>
      <c r="B256" t="s">
        <v>4</v>
      </c>
      <c r="C256" s="1">
        <v>484</v>
      </c>
      <c r="D256" s="1">
        <v>163</v>
      </c>
      <c r="E256">
        <v>220</v>
      </c>
      <c r="F256">
        <v>5400</v>
      </c>
      <c r="G256" t="s">
        <v>2</v>
      </c>
    </row>
    <row r="257" spans="1:7" x14ac:dyDescent="0.45">
      <c r="A257" t="s">
        <v>7</v>
      </c>
      <c r="B257" t="s">
        <v>4</v>
      </c>
      <c r="C257" s="1">
        <v>426</v>
      </c>
      <c r="D257" s="1">
        <v>137</v>
      </c>
      <c r="E257">
        <v>213</v>
      </c>
      <c r="F257">
        <v>4950</v>
      </c>
      <c r="G257" t="s">
        <v>3</v>
      </c>
    </row>
    <row r="258" spans="1:7" x14ac:dyDescent="0.45">
      <c r="A258" t="s">
        <v>7</v>
      </c>
      <c r="B258" t="s">
        <v>4</v>
      </c>
      <c r="C258" s="1">
        <v>444</v>
      </c>
      <c r="D258" s="1">
        <v>173</v>
      </c>
      <c r="E258">
        <v>219</v>
      </c>
      <c r="F258">
        <v>5250</v>
      </c>
      <c r="G258" t="s">
        <v>2</v>
      </c>
    </row>
    <row r="259" spans="1:7" x14ac:dyDescent="0.45">
      <c r="A259" t="s">
        <v>7</v>
      </c>
      <c r="B259" t="s">
        <v>4</v>
      </c>
      <c r="C259" s="1">
        <v>440</v>
      </c>
      <c r="D259" s="1">
        <v>136</v>
      </c>
      <c r="E259">
        <v>208</v>
      </c>
      <c r="F259">
        <v>4350</v>
      </c>
      <c r="G259" t="s">
        <v>3</v>
      </c>
    </row>
    <row r="260" spans="1:7" x14ac:dyDescent="0.45">
      <c r="A260" t="s">
        <v>7</v>
      </c>
      <c r="B260" t="s">
        <v>4</v>
      </c>
      <c r="C260" s="1">
        <v>487</v>
      </c>
      <c r="D260" s="1">
        <v>157</v>
      </c>
      <c r="E260">
        <v>208</v>
      </c>
      <c r="F260">
        <v>5350</v>
      </c>
      <c r="G260" t="s">
        <v>2</v>
      </c>
    </row>
    <row r="261" spans="1:7" x14ac:dyDescent="0.45">
      <c r="A261" t="s">
        <v>7</v>
      </c>
      <c r="B261" t="s">
        <v>4</v>
      </c>
      <c r="C261" s="1">
        <v>427</v>
      </c>
      <c r="D261" s="1">
        <v>137</v>
      </c>
      <c r="E261">
        <v>208</v>
      </c>
      <c r="F261">
        <v>3950</v>
      </c>
      <c r="G261" t="s">
        <v>3</v>
      </c>
    </row>
    <row r="262" spans="1:7" x14ac:dyDescent="0.45">
      <c r="A262" t="s">
        <v>7</v>
      </c>
      <c r="B262" t="s">
        <v>4</v>
      </c>
      <c r="C262" s="1">
        <v>496</v>
      </c>
      <c r="D262" s="1">
        <v>160</v>
      </c>
      <c r="E262">
        <v>225</v>
      </c>
      <c r="F262">
        <v>5700</v>
      </c>
      <c r="G262" t="s">
        <v>2</v>
      </c>
    </row>
    <row r="263" spans="1:7" x14ac:dyDescent="0.45">
      <c r="A263" t="s">
        <v>7</v>
      </c>
      <c r="B263" t="s">
        <v>4</v>
      </c>
      <c r="C263" s="1">
        <v>453</v>
      </c>
      <c r="D263" s="1">
        <v>137</v>
      </c>
      <c r="E263">
        <v>210</v>
      </c>
      <c r="F263">
        <v>4300</v>
      </c>
      <c r="G263" t="s">
        <v>3</v>
      </c>
    </row>
    <row r="264" spans="1:7" x14ac:dyDescent="0.45">
      <c r="A264" t="s">
        <v>7</v>
      </c>
      <c r="B264" t="s">
        <v>4</v>
      </c>
      <c r="C264" s="1">
        <v>496</v>
      </c>
      <c r="D264" s="1">
        <v>150</v>
      </c>
      <c r="E264">
        <v>216</v>
      </c>
      <c r="F264">
        <v>4750</v>
      </c>
      <c r="G264" t="s">
        <v>2</v>
      </c>
    </row>
    <row r="265" spans="1:7" x14ac:dyDescent="0.45">
      <c r="A265" t="s">
        <v>7</v>
      </c>
      <c r="B265" t="s">
        <v>4</v>
      </c>
      <c r="C265" s="1">
        <v>505</v>
      </c>
      <c r="D265" s="1">
        <v>159</v>
      </c>
      <c r="E265">
        <v>222</v>
      </c>
      <c r="F265">
        <v>5550</v>
      </c>
      <c r="G265" t="s">
        <v>2</v>
      </c>
    </row>
    <row r="266" spans="1:7" x14ac:dyDescent="0.45">
      <c r="A266" t="s">
        <v>7</v>
      </c>
      <c r="B266" t="s">
        <v>4</v>
      </c>
      <c r="C266" s="1">
        <v>436</v>
      </c>
      <c r="D266" s="1">
        <v>139</v>
      </c>
      <c r="E266">
        <v>217</v>
      </c>
      <c r="F266">
        <v>4900</v>
      </c>
      <c r="G266" t="s">
        <v>3</v>
      </c>
    </row>
    <row r="267" spans="1:7" x14ac:dyDescent="0.45">
      <c r="A267" t="s">
        <v>7</v>
      </c>
      <c r="B267" t="s">
        <v>4</v>
      </c>
      <c r="C267" s="1">
        <v>455</v>
      </c>
      <c r="D267" s="1">
        <v>139</v>
      </c>
      <c r="E267">
        <v>210</v>
      </c>
      <c r="F267">
        <v>4200</v>
      </c>
      <c r="G267" t="s">
        <v>3</v>
      </c>
    </row>
    <row r="268" spans="1:7" x14ac:dyDescent="0.45">
      <c r="A268" t="s">
        <v>7</v>
      </c>
      <c r="B268" t="s">
        <v>4</v>
      </c>
      <c r="C268" s="1">
        <v>505</v>
      </c>
      <c r="D268" s="1">
        <v>159</v>
      </c>
      <c r="E268">
        <v>225</v>
      </c>
      <c r="F268">
        <v>5400</v>
      </c>
      <c r="G268" t="s">
        <v>2</v>
      </c>
    </row>
    <row r="269" spans="1:7" x14ac:dyDescent="0.45">
      <c r="A269" t="s">
        <v>7</v>
      </c>
      <c r="B269" t="s">
        <v>4</v>
      </c>
      <c r="C269" s="1">
        <v>449</v>
      </c>
      <c r="D269" s="1">
        <v>133</v>
      </c>
      <c r="E269">
        <v>213</v>
      </c>
      <c r="F269">
        <v>5100</v>
      </c>
      <c r="G269" t="s">
        <v>3</v>
      </c>
    </row>
    <row r="270" spans="1:7" x14ac:dyDescent="0.45">
      <c r="A270" t="s">
        <v>7</v>
      </c>
      <c r="B270" t="s">
        <v>4</v>
      </c>
      <c r="C270" s="1">
        <v>452</v>
      </c>
      <c r="D270" s="1">
        <v>158</v>
      </c>
      <c r="E270">
        <v>215</v>
      </c>
      <c r="F270">
        <v>5300</v>
      </c>
      <c r="G270" t="s">
        <v>2</v>
      </c>
    </row>
    <row r="271" spans="1:7" x14ac:dyDescent="0.45">
      <c r="A271" t="s">
        <v>7</v>
      </c>
      <c r="B271" t="s">
        <v>4</v>
      </c>
      <c r="C271" s="1">
        <v>466</v>
      </c>
      <c r="D271" s="1">
        <v>142</v>
      </c>
      <c r="E271">
        <v>210</v>
      </c>
      <c r="F271">
        <v>4850</v>
      </c>
      <c r="G271" t="s">
        <v>3</v>
      </c>
    </row>
    <row r="272" spans="1:7" x14ac:dyDescent="0.45">
      <c r="A272" t="s">
        <v>7</v>
      </c>
      <c r="B272" t="s">
        <v>4</v>
      </c>
      <c r="C272" s="1">
        <v>485</v>
      </c>
      <c r="D272" s="1">
        <v>141</v>
      </c>
      <c r="E272">
        <v>220</v>
      </c>
      <c r="F272">
        <v>5300</v>
      </c>
      <c r="G272" t="s">
        <v>2</v>
      </c>
    </row>
    <row r="273" spans="1:7" x14ac:dyDescent="0.45">
      <c r="A273" t="s">
        <v>7</v>
      </c>
      <c r="B273" t="s">
        <v>4</v>
      </c>
      <c r="C273" s="1">
        <v>451</v>
      </c>
      <c r="D273" s="1">
        <v>144</v>
      </c>
      <c r="E273">
        <v>210</v>
      </c>
      <c r="F273">
        <v>4400</v>
      </c>
      <c r="G273" t="s">
        <v>3</v>
      </c>
    </row>
    <row r="274" spans="1:7" x14ac:dyDescent="0.45">
      <c r="A274" t="s">
        <v>7</v>
      </c>
      <c r="B274" t="s">
        <v>4</v>
      </c>
      <c r="C274" s="1">
        <v>501</v>
      </c>
      <c r="D274" s="1">
        <v>150</v>
      </c>
      <c r="E274">
        <v>225</v>
      </c>
      <c r="F274">
        <v>5000</v>
      </c>
      <c r="G274" t="s">
        <v>2</v>
      </c>
    </row>
    <row r="275" spans="1:7" x14ac:dyDescent="0.45">
      <c r="A275" t="s">
        <v>7</v>
      </c>
      <c r="B275" t="s">
        <v>4</v>
      </c>
      <c r="C275" s="1">
        <v>465</v>
      </c>
      <c r="D275" s="1">
        <v>144</v>
      </c>
      <c r="E275">
        <v>217</v>
      </c>
      <c r="F275">
        <v>4900</v>
      </c>
      <c r="G275" t="s">
        <v>3</v>
      </c>
    </row>
    <row r="276" spans="1:7" x14ac:dyDescent="0.45">
      <c r="A276" t="s">
        <v>7</v>
      </c>
      <c r="B276" t="s">
        <v>4</v>
      </c>
      <c r="C276" s="1">
        <v>450</v>
      </c>
      <c r="D276" s="1">
        <v>154</v>
      </c>
      <c r="E276">
        <v>220</v>
      </c>
      <c r="F276">
        <v>5050</v>
      </c>
      <c r="G276" t="s">
        <v>2</v>
      </c>
    </row>
    <row r="277" spans="1:7" x14ac:dyDescent="0.45">
      <c r="A277" t="s">
        <v>7</v>
      </c>
      <c r="B277" t="s">
        <v>4</v>
      </c>
      <c r="C277" s="1">
        <v>438</v>
      </c>
      <c r="D277" s="1">
        <v>139</v>
      </c>
      <c r="E277">
        <v>208</v>
      </c>
      <c r="F277">
        <v>4300</v>
      </c>
      <c r="G277" t="s">
        <v>3</v>
      </c>
    </row>
    <row r="278" spans="1:7" x14ac:dyDescent="0.45">
      <c r="A278" t="s">
        <v>7</v>
      </c>
      <c r="B278" t="s">
        <v>4</v>
      </c>
      <c r="C278" s="1">
        <v>455</v>
      </c>
      <c r="D278" s="1">
        <v>150</v>
      </c>
      <c r="E278">
        <v>220</v>
      </c>
      <c r="F278">
        <v>5000</v>
      </c>
      <c r="G278" t="s">
        <v>2</v>
      </c>
    </row>
    <row r="279" spans="1:7" x14ac:dyDescent="0.45">
      <c r="A279" t="s">
        <v>7</v>
      </c>
      <c r="B279" t="s">
        <v>4</v>
      </c>
      <c r="C279" s="1">
        <v>432</v>
      </c>
      <c r="D279" s="1">
        <v>145</v>
      </c>
      <c r="E279">
        <v>208</v>
      </c>
      <c r="F279">
        <v>4450</v>
      </c>
      <c r="G279" t="s">
        <v>3</v>
      </c>
    </row>
    <row r="280" spans="1:7" x14ac:dyDescent="0.45">
      <c r="A280" t="s">
        <v>7</v>
      </c>
      <c r="B280" t="s">
        <v>4</v>
      </c>
      <c r="C280" s="1">
        <v>504</v>
      </c>
      <c r="D280" s="1">
        <v>153</v>
      </c>
      <c r="E280">
        <v>224</v>
      </c>
      <c r="F280">
        <v>5550</v>
      </c>
      <c r="G280" t="s">
        <v>2</v>
      </c>
    </row>
    <row r="281" spans="1:7" x14ac:dyDescent="0.45">
      <c r="A281" t="s">
        <v>7</v>
      </c>
      <c r="B281" t="s">
        <v>4</v>
      </c>
      <c r="C281" s="1">
        <v>453</v>
      </c>
      <c r="D281" s="1">
        <v>138</v>
      </c>
      <c r="E281">
        <v>208</v>
      </c>
      <c r="F281">
        <v>4200</v>
      </c>
      <c r="G281" t="s">
        <v>3</v>
      </c>
    </row>
    <row r="282" spans="1:7" x14ac:dyDescent="0.45">
      <c r="A282" t="s">
        <v>7</v>
      </c>
      <c r="B282" t="s">
        <v>4</v>
      </c>
      <c r="C282" s="1">
        <v>462</v>
      </c>
      <c r="D282" s="1">
        <v>149</v>
      </c>
      <c r="E282">
        <v>221</v>
      </c>
      <c r="F282">
        <v>5300</v>
      </c>
      <c r="G282" t="s">
        <v>2</v>
      </c>
    </row>
    <row r="283" spans="1:7" x14ac:dyDescent="0.45">
      <c r="A283" t="s">
        <v>7</v>
      </c>
      <c r="B283" t="s">
        <v>4</v>
      </c>
      <c r="C283" s="1">
        <v>457</v>
      </c>
      <c r="D283" s="1">
        <v>139</v>
      </c>
      <c r="E283">
        <v>214</v>
      </c>
      <c r="F283">
        <v>4400</v>
      </c>
      <c r="G283" t="s">
        <v>3</v>
      </c>
    </row>
    <row r="284" spans="1:7" x14ac:dyDescent="0.45">
      <c r="A284" t="s">
        <v>7</v>
      </c>
      <c r="B284" t="s">
        <v>4</v>
      </c>
      <c r="C284" s="1">
        <v>543</v>
      </c>
      <c r="D284" s="1">
        <v>157</v>
      </c>
      <c r="E284">
        <v>231</v>
      </c>
      <c r="F284">
        <v>5650</v>
      </c>
      <c r="G284" t="s">
        <v>2</v>
      </c>
    </row>
    <row r="285" spans="1:7" x14ac:dyDescent="0.45">
      <c r="A285" t="s">
        <v>7</v>
      </c>
      <c r="B285" t="s">
        <v>4</v>
      </c>
      <c r="C285" s="1">
        <v>458</v>
      </c>
      <c r="D285" s="1">
        <v>142</v>
      </c>
      <c r="E285">
        <v>219</v>
      </c>
      <c r="F285">
        <v>4700</v>
      </c>
      <c r="G285" t="s">
        <v>3</v>
      </c>
    </row>
    <row r="286" spans="1:7" x14ac:dyDescent="0.45">
      <c r="A286" t="s">
        <v>7</v>
      </c>
      <c r="B286" t="s">
        <v>4</v>
      </c>
      <c r="C286" s="1">
        <v>498</v>
      </c>
      <c r="D286" s="1">
        <v>168</v>
      </c>
      <c r="E286">
        <v>230</v>
      </c>
      <c r="F286">
        <v>5700</v>
      </c>
      <c r="G286" t="s">
        <v>2</v>
      </c>
    </row>
    <row r="287" spans="1:7" x14ac:dyDescent="0.45">
      <c r="A287" t="s">
        <v>7</v>
      </c>
      <c r="B287" t="s">
        <v>4</v>
      </c>
      <c r="C287" s="1">
        <v>462</v>
      </c>
      <c r="D287" s="1">
        <v>144</v>
      </c>
      <c r="E287">
        <v>214</v>
      </c>
      <c r="F287">
        <v>4650</v>
      </c>
      <c r="G287" t="s">
        <v>3</v>
      </c>
    </row>
    <row r="288" spans="1:7" x14ac:dyDescent="0.45">
      <c r="A288" t="s">
        <v>7</v>
      </c>
      <c r="B288" t="s">
        <v>4</v>
      </c>
      <c r="C288" s="1">
        <v>495</v>
      </c>
      <c r="D288" s="1">
        <v>162</v>
      </c>
      <c r="E288">
        <v>229</v>
      </c>
      <c r="F288">
        <v>5800</v>
      </c>
      <c r="G288" t="s">
        <v>2</v>
      </c>
    </row>
    <row r="289" spans="1:7" x14ac:dyDescent="0.45">
      <c r="A289" t="s">
        <v>7</v>
      </c>
      <c r="B289" t="s">
        <v>4</v>
      </c>
      <c r="C289" s="1">
        <v>435</v>
      </c>
      <c r="D289" s="1">
        <v>142</v>
      </c>
      <c r="E289">
        <v>220</v>
      </c>
      <c r="F289">
        <v>4700</v>
      </c>
      <c r="G289" t="s">
        <v>3</v>
      </c>
    </row>
    <row r="290" spans="1:7" x14ac:dyDescent="0.45">
      <c r="A290" t="s">
        <v>7</v>
      </c>
      <c r="B290" t="s">
        <v>4</v>
      </c>
      <c r="C290" s="1">
        <v>507</v>
      </c>
      <c r="D290" s="1">
        <v>150</v>
      </c>
      <c r="E290">
        <v>223</v>
      </c>
      <c r="F290">
        <v>5550</v>
      </c>
      <c r="G290" t="s">
        <v>2</v>
      </c>
    </row>
    <row r="291" spans="1:7" x14ac:dyDescent="0.45">
      <c r="A291" t="s">
        <v>7</v>
      </c>
      <c r="B291" t="s">
        <v>4</v>
      </c>
      <c r="C291" s="1">
        <v>477</v>
      </c>
      <c r="D291" s="1">
        <v>150</v>
      </c>
      <c r="E291">
        <v>216</v>
      </c>
      <c r="F291">
        <v>4750</v>
      </c>
      <c r="G291" t="s">
        <v>3</v>
      </c>
    </row>
    <row r="292" spans="1:7" x14ac:dyDescent="0.45">
      <c r="A292" t="s">
        <v>7</v>
      </c>
      <c r="B292" t="s">
        <v>4</v>
      </c>
      <c r="C292" s="1">
        <v>464</v>
      </c>
      <c r="D292" s="1">
        <v>156</v>
      </c>
      <c r="E292">
        <v>221</v>
      </c>
      <c r="F292">
        <v>5000</v>
      </c>
      <c r="G292" t="s">
        <v>2</v>
      </c>
    </row>
    <row r="293" spans="1:7" x14ac:dyDescent="0.45">
      <c r="A293" t="s">
        <v>7</v>
      </c>
      <c r="B293" t="s">
        <v>4</v>
      </c>
      <c r="C293" s="1">
        <v>482</v>
      </c>
      <c r="D293" s="1">
        <v>156</v>
      </c>
      <c r="E293">
        <v>221</v>
      </c>
      <c r="F293">
        <v>5100</v>
      </c>
      <c r="G293" t="s">
        <v>2</v>
      </c>
    </row>
    <row r="294" spans="1:7" x14ac:dyDescent="0.45">
      <c r="A294" t="s">
        <v>7</v>
      </c>
      <c r="B294" t="s">
        <v>4</v>
      </c>
      <c r="C294" s="1">
        <v>465</v>
      </c>
      <c r="D294" s="1">
        <v>148</v>
      </c>
      <c r="E294">
        <v>217</v>
      </c>
      <c r="F294">
        <v>5200</v>
      </c>
      <c r="G294" t="s">
        <v>3</v>
      </c>
    </row>
    <row r="295" spans="1:7" x14ac:dyDescent="0.45">
      <c r="A295" t="s">
        <v>7</v>
      </c>
      <c r="B295" t="s">
        <v>4</v>
      </c>
      <c r="C295" s="1">
        <v>464</v>
      </c>
      <c r="D295" s="1">
        <v>150</v>
      </c>
      <c r="E295">
        <v>216</v>
      </c>
      <c r="F295">
        <v>4700</v>
      </c>
      <c r="G295" t="s">
        <v>3</v>
      </c>
    </row>
    <row r="296" spans="1:7" x14ac:dyDescent="0.45">
      <c r="A296" t="s">
        <v>7</v>
      </c>
      <c r="B296" t="s">
        <v>4</v>
      </c>
      <c r="C296" s="1">
        <v>486</v>
      </c>
      <c r="D296" s="1">
        <v>160</v>
      </c>
      <c r="E296">
        <v>230</v>
      </c>
      <c r="F296">
        <v>5800</v>
      </c>
      <c r="G296" t="s">
        <v>2</v>
      </c>
    </row>
    <row r="297" spans="1:7" x14ac:dyDescent="0.45">
      <c r="A297" t="s">
        <v>7</v>
      </c>
      <c r="B297" t="s">
        <v>4</v>
      </c>
      <c r="C297" s="1">
        <v>475</v>
      </c>
      <c r="D297" s="1">
        <v>142</v>
      </c>
      <c r="E297">
        <v>209</v>
      </c>
      <c r="F297">
        <v>4600</v>
      </c>
      <c r="G297" t="s">
        <v>3</v>
      </c>
    </row>
    <row r="298" spans="1:7" x14ac:dyDescent="0.45">
      <c r="A298" t="s">
        <v>7</v>
      </c>
      <c r="B298" t="s">
        <v>4</v>
      </c>
      <c r="C298" s="1">
        <v>511</v>
      </c>
      <c r="D298" s="1">
        <v>163</v>
      </c>
      <c r="E298">
        <v>220</v>
      </c>
      <c r="F298">
        <v>6000</v>
      </c>
      <c r="G298" t="s">
        <v>2</v>
      </c>
    </row>
    <row r="299" spans="1:7" x14ac:dyDescent="0.45">
      <c r="A299" t="s">
        <v>7</v>
      </c>
      <c r="B299" t="s">
        <v>4</v>
      </c>
      <c r="C299" s="1">
        <v>452</v>
      </c>
      <c r="D299" s="1">
        <v>138</v>
      </c>
      <c r="E299">
        <v>215</v>
      </c>
      <c r="F299">
        <v>4750</v>
      </c>
      <c r="G299" t="s">
        <v>3</v>
      </c>
    </row>
    <row r="300" spans="1:7" x14ac:dyDescent="0.45">
      <c r="A300" t="s">
        <v>7</v>
      </c>
      <c r="B300" t="s">
        <v>4</v>
      </c>
      <c r="C300" s="1">
        <v>452</v>
      </c>
      <c r="D300" s="1">
        <v>164</v>
      </c>
      <c r="E300">
        <v>223</v>
      </c>
      <c r="F300">
        <v>5950</v>
      </c>
      <c r="G300" t="s">
        <v>2</v>
      </c>
    </row>
    <row r="301" spans="1:7" x14ac:dyDescent="0.45">
      <c r="A301" t="s">
        <v>7</v>
      </c>
      <c r="B301" t="s">
        <v>4</v>
      </c>
      <c r="C301" s="1">
        <v>491</v>
      </c>
      <c r="D301" s="1">
        <v>145</v>
      </c>
      <c r="E301">
        <v>212</v>
      </c>
      <c r="F301">
        <v>4625</v>
      </c>
      <c r="G301" t="s">
        <v>3</v>
      </c>
    </row>
    <row r="302" spans="1:7" x14ac:dyDescent="0.45">
      <c r="A302" t="s">
        <v>7</v>
      </c>
      <c r="B302" t="s">
        <v>4</v>
      </c>
      <c r="C302" s="1">
        <v>525</v>
      </c>
      <c r="D302" s="1">
        <v>156</v>
      </c>
      <c r="E302">
        <v>221</v>
      </c>
      <c r="F302">
        <v>5450</v>
      </c>
      <c r="G302" t="s">
        <v>2</v>
      </c>
    </row>
    <row r="303" spans="1:7" x14ac:dyDescent="0.45">
      <c r="A303" t="s">
        <v>7</v>
      </c>
      <c r="B303" t="s">
        <v>4</v>
      </c>
      <c r="C303" s="1">
        <v>474</v>
      </c>
      <c r="D303" s="1">
        <v>146</v>
      </c>
      <c r="E303">
        <v>212</v>
      </c>
      <c r="F303">
        <v>4725</v>
      </c>
      <c r="G303" t="s">
        <v>3</v>
      </c>
    </row>
    <row r="304" spans="1:7" x14ac:dyDescent="0.45">
      <c r="A304" t="s">
        <v>7</v>
      </c>
      <c r="B304" t="s">
        <v>4</v>
      </c>
      <c r="C304" s="1">
        <v>500</v>
      </c>
      <c r="D304" s="1">
        <v>159</v>
      </c>
      <c r="E304">
        <v>224</v>
      </c>
      <c r="F304">
        <v>5350</v>
      </c>
      <c r="G304" t="s">
        <v>2</v>
      </c>
    </row>
    <row r="305" spans="1:7" x14ac:dyDescent="0.45">
      <c r="A305" t="s">
        <v>7</v>
      </c>
      <c r="B305" t="s">
        <v>4</v>
      </c>
      <c r="C305" s="1">
        <v>449</v>
      </c>
      <c r="D305" s="1">
        <v>138</v>
      </c>
      <c r="E305">
        <v>212</v>
      </c>
      <c r="F305">
        <v>4750</v>
      </c>
      <c r="G305" t="s">
        <v>3</v>
      </c>
    </row>
    <row r="306" spans="1:7" x14ac:dyDescent="0.45">
      <c r="A306" t="s">
        <v>7</v>
      </c>
      <c r="B306" t="s">
        <v>4</v>
      </c>
      <c r="C306" s="1">
        <v>508</v>
      </c>
      <c r="D306" s="1">
        <v>173</v>
      </c>
      <c r="E306">
        <v>228</v>
      </c>
      <c r="F306">
        <v>5600</v>
      </c>
      <c r="G306" t="s">
        <v>2</v>
      </c>
    </row>
    <row r="307" spans="1:7" x14ac:dyDescent="0.45">
      <c r="A307" t="s">
        <v>7</v>
      </c>
      <c r="B307" t="s">
        <v>4</v>
      </c>
      <c r="C307" s="1">
        <v>434</v>
      </c>
      <c r="D307" s="1">
        <v>144</v>
      </c>
      <c r="E307">
        <v>218</v>
      </c>
      <c r="F307">
        <v>4600</v>
      </c>
      <c r="G307" t="s">
        <v>3</v>
      </c>
    </row>
    <row r="308" spans="1:7" x14ac:dyDescent="0.45">
      <c r="A308" t="s">
        <v>7</v>
      </c>
      <c r="B308" t="s">
        <v>4</v>
      </c>
      <c r="C308" s="1">
        <v>513</v>
      </c>
      <c r="D308" s="1">
        <v>142</v>
      </c>
      <c r="E308">
        <v>218</v>
      </c>
      <c r="F308">
        <v>5300</v>
      </c>
      <c r="G308" t="s">
        <v>2</v>
      </c>
    </row>
    <row r="309" spans="1:7" x14ac:dyDescent="0.45">
      <c r="A309" t="s">
        <v>7</v>
      </c>
      <c r="B309" t="s">
        <v>4</v>
      </c>
      <c r="C309" s="1">
        <v>475</v>
      </c>
      <c r="D309" s="1">
        <v>140</v>
      </c>
      <c r="E309">
        <v>212</v>
      </c>
      <c r="F309">
        <v>4875</v>
      </c>
      <c r="G309" t="s">
        <v>3</v>
      </c>
    </row>
    <row r="310" spans="1:7" x14ac:dyDescent="0.45">
      <c r="A310" t="s">
        <v>7</v>
      </c>
      <c r="B310" t="s">
        <v>4</v>
      </c>
      <c r="C310" s="1">
        <v>521</v>
      </c>
      <c r="D310" s="1">
        <v>170</v>
      </c>
      <c r="E310">
        <v>230</v>
      </c>
      <c r="F310">
        <v>5550</v>
      </c>
      <c r="G310" t="s">
        <v>2</v>
      </c>
    </row>
    <row r="311" spans="1:7" x14ac:dyDescent="0.45">
      <c r="A311" t="s">
        <v>7</v>
      </c>
      <c r="B311" t="s">
        <v>4</v>
      </c>
      <c r="C311" s="1">
        <v>475</v>
      </c>
      <c r="D311" s="1">
        <v>150</v>
      </c>
      <c r="E311">
        <v>218</v>
      </c>
      <c r="F311">
        <v>4950</v>
      </c>
      <c r="G311" t="s">
        <v>3</v>
      </c>
    </row>
    <row r="312" spans="1:7" x14ac:dyDescent="0.45">
      <c r="A312" t="s">
        <v>7</v>
      </c>
      <c r="B312" t="s">
        <v>4</v>
      </c>
      <c r="C312" s="1">
        <v>522</v>
      </c>
      <c r="D312" s="1">
        <v>171</v>
      </c>
      <c r="E312">
        <v>228</v>
      </c>
      <c r="F312">
        <v>5400</v>
      </c>
      <c r="G312" t="s">
        <v>2</v>
      </c>
    </row>
    <row r="313" spans="1:7" x14ac:dyDescent="0.45">
      <c r="A313" t="s">
        <v>7</v>
      </c>
      <c r="B313" t="s">
        <v>4</v>
      </c>
      <c r="C313" s="1">
        <v>455</v>
      </c>
      <c r="D313" s="1">
        <v>145</v>
      </c>
      <c r="E313">
        <v>212</v>
      </c>
      <c r="F313">
        <v>4750</v>
      </c>
      <c r="G313" t="s">
        <v>3</v>
      </c>
    </row>
    <row r="314" spans="1:7" x14ac:dyDescent="0.45">
      <c r="A314" t="s">
        <v>7</v>
      </c>
      <c r="B314" t="s">
        <v>4</v>
      </c>
      <c r="C314" s="1">
        <v>495</v>
      </c>
      <c r="D314" s="1">
        <v>161</v>
      </c>
      <c r="E314">
        <v>224</v>
      </c>
      <c r="F314">
        <v>5650</v>
      </c>
      <c r="G314" t="s">
        <v>2</v>
      </c>
    </row>
    <row r="315" spans="1:7" x14ac:dyDescent="0.45">
      <c r="A315" t="s">
        <v>7</v>
      </c>
      <c r="B315" t="s">
        <v>4</v>
      </c>
      <c r="C315" s="1">
        <v>445</v>
      </c>
      <c r="D315" s="1">
        <v>147</v>
      </c>
      <c r="E315">
        <v>214</v>
      </c>
      <c r="F315">
        <v>4850</v>
      </c>
      <c r="G315" t="s">
        <v>3</v>
      </c>
    </row>
    <row r="316" spans="1:7" x14ac:dyDescent="0.45">
      <c r="A316" t="s">
        <v>7</v>
      </c>
      <c r="B316" t="s">
        <v>4</v>
      </c>
      <c r="C316" s="1">
        <v>508</v>
      </c>
      <c r="D316" s="1">
        <v>157</v>
      </c>
      <c r="E316">
        <v>226</v>
      </c>
      <c r="F316">
        <v>5200</v>
      </c>
      <c r="G316" t="s">
        <v>2</v>
      </c>
    </row>
    <row r="317" spans="1:7" x14ac:dyDescent="0.45">
      <c r="A317" t="s">
        <v>7</v>
      </c>
      <c r="B317" t="s">
        <v>4</v>
      </c>
      <c r="C317" s="1">
        <v>494</v>
      </c>
      <c r="D317" s="1">
        <v>158</v>
      </c>
      <c r="E317">
        <v>216</v>
      </c>
      <c r="F317">
        <v>4925</v>
      </c>
      <c r="G317" t="s">
        <v>2</v>
      </c>
    </row>
    <row r="318" spans="1:7" x14ac:dyDescent="0.45">
      <c r="A318" t="s">
        <v>7</v>
      </c>
      <c r="B318" t="s">
        <v>4</v>
      </c>
      <c r="C318" s="1">
        <v>469</v>
      </c>
      <c r="D318" s="1">
        <v>146</v>
      </c>
      <c r="E318">
        <v>222</v>
      </c>
      <c r="F318">
        <v>4875</v>
      </c>
      <c r="G318" t="s">
        <v>3</v>
      </c>
    </row>
    <row r="319" spans="1:7" x14ac:dyDescent="0.45">
      <c r="A319" t="s">
        <v>7</v>
      </c>
      <c r="B319" t="s">
        <v>4</v>
      </c>
      <c r="C319" s="1">
        <v>484</v>
      </c>
      <c r="D319" s="1">
        <v>144</v>
      </c>
      <c r="E319">
        <v>203</v>
      </c>
      <c r="F319">
        <v>4625</v>
      </c>
      <c r="G319" t="s">
        <v>3</v>
      </c>
    </row>
    <row r="320" spans="1:7" x14ac:dyDescent="0.45">
      <c r="A320" t="s">
        <v>7</v>
      </c>
      <c r="B320" t="s">
        <v>4</v>
      </c>
      <c r="C320" s="1">
        <v>511</v>
      </c>
      <c r="D320" s="1">
        <v>165</v>
      </c>
      <c r="E320">
        <v>225</v>
      </c>
      <c r="F320">
        <v>5250</v>
      </c>
      <c r="G320" t="s">
        <v>2</v>
      </c>
    </row>
    <row r="321" spans="1:7" x14ac:dyDescent="0.45">
      <c r="A321" t="s">
        <v>7</v>
      </c>
      <c r="B321" t="s">
        <v>4</v>
      </c>
      <c r="C321" s="1">
        <v>485</v>
      </c>
      <c r="D321" s="1">
        <v>150</v>
      </c>
      <c r="E321">
        <v>219</v>
      </c>
      <c r="F321">
        <v>4850</v>
      </c>
      <c r="G321" t="s">
        <v>3</v>
      </c>
    </row>
    <row r="322" spans="1:7" x14ac:dyDescent="0.45">
      <c r="A322" t="s">
        <v>7</v>
      </c>
      <c r="B322" t="s">
        <v>4</v>
      </c>
      <c r="C322" s="1">
        <v>559</v>
      </c>
      <c r="D322" s="1">
        <v>170</v>
      </c>
      <c r="E322">
        <v>228</v>
      </c>
      <c r="F322">
        <v>5600</v>
      </c>
      <c r="G322" t="s">
        <v>2</v>
      </c>
    </row>
    <row r="323" spans="1:7" x14ac:dyDescent="0.45">
      <c r="A323" t="s">
        <v>7</v>
      </c>
      <c r="B323" t="s">
        <v>4</v>
      </c>
      <c r="C323" s="1">
        <v>472</v>
      </c>
      <c r="D323" s="1">
        <v>155</v>
      </c>
      <c r="E323">
        <v>215</v>
      </c>
      <c r="F323">
        <v>4975</v>
      </c>
      <c r="G323" t="s">
        <v>3</v>
      </c>
    </row>
    <row r="324" spans="1:7" x14ac:dyDescent="0.45">
      <c r="A324" t="s">
        <v>7</v>
      </c>
      <c r="B324" t="s">
        <v>4</v>
      </c>
      <c r="C324" s="1">
        <v>491</v>
      </c>
      <c r="D324" s="1">
        <v>150</v>
      </c>
      <c r="E324">
        <v>228</v>
      </c>
      <c r="F324">
        <v>5500</v>
      </c>
      <c r="G324" t="s">
        <v>2</v>
      </c>
    </row>
    <row r="325" spans="1:7" x14ac:dyDescent="0.45">
      <c r="A325" t="s">
        <v>7</v>
      </c>
      <c r="B325" t="s">
        <v>4</v>
      </c>
      <c r="C325" s="1">
        <v>473</v>
      </c>
      <c r="D325" s="1">
        <v>138</v>
      </c>
      <c r="E325">
        <v>216</v>
      </c>
      <c r="F325">
        <v>4725</v>
      </c>
      <c r="G325" t="s">
        <v>2</v>
      </c>
    </row>
    <row r="326" spans="1:7" x14ac:dyDescent="0.45">
      <c r="A326" t="s">
        <v>7</v>
      </c>
      <c r="B326" t="s">
        <v>4</v>
      </c>
      <c r="C326" s="1">
        <v>468</v>
      </c>
      <c r="D326" s="1">
        <v>161</v>
      </c>
      <c r="E326">
        <v>215</v>
      </c>
      <c r="F326">
        <v>5500</v>
      </c>
      <c r="G326" t="s">
        <v>2</v>
      </c>
    </row>
    <row r="327" spans="1:7" x14ac:dyDescent="0.45">
      <c r="A327" t="s">
        <v>7</v>
      </c>
      <c r="B327" t="s">
        <v>4</v>
      </c>
      <c r="C327" s="1">
        <v>417</v>
      </c>
      <c r="D327" s="1">
        <v>147</v>
      </c>
      <c r="E327">
        <v>210</v>
      </c>
      <c r="F327">
        <v>4700</v>
      </c>
      <c r="G327" t="s">
        <v>3</v>
      </c>
    </row>
    <row r="328" spans="1:7" x14ac:dyDescent="0.45">
      <c r="A328" t="s">
        <v>7</v>
      </c>
      <c r="B328" t="s">
        <v>4</v>
      </c>
      <c r="C328" s="1">
        <v>534</v>
      </c>
      <c r="D328" s="1">
        <v>158</v>
      </c>
      <c r="E328">
        <v>219</v>
      </c>
      <c r="F328">
        <v>5500</v>
      </c>
      <c r="G328" t="s">
        <v>2</v>
      </c>
    </row>
    <row r="329" spans="1:7" x14ac:dyDescent="0.45">
      <c r="A329" t="s">
        <v>7</v>
      </c>
      <c r="B329" t="s">
        <v>4</v>
      </c>
      <c r="C329" s="1">
        <v>433</v>
      </c>
      <c r="D329" s="1">
        <v>140</v>
      </c>
      <c r="E329">
        <v>208</v>
      </c>
      <c r="F329">
        <v>4575</v>
      </c>
      <c r="G329" t="s">
        <v>3</v>
      </c>
    </row>
    <row r="330" spans="1:7" x14ac:dyDescent="0.45">
      <c r="A330" t="s">
        <v>7</v>
      </c>
      <c r="B330" t="s">
        <v>4</v>
      </c>
      <c r="C330" s="1">
        <v>481</v>
      </c>
      <c r="D330" s="1">
        <v>151</v>
      </c>
      <c r="E330">
        <v>209</v>
      </c>
      <c r="F330">
        <v>5500</v>
      </c>
      <c r="G330" t="s">
        <v>2</v>
      </c>
    </row>
    <row r="331" spans="1:7" x14ac:dyDescent="0.45">
      <c r="A331" t="s">
        <v>7</v>
      </c>
      <c r="B331" t="s">
        <v>4</v>
      </c>
      <c r="C331" s="1">
        <v>505</v>
      </c>
      <c r="D331" s="1">
        <v>152</v>
      </c>
      <c r="E331">
        <v>216</v>
      </c>
      <c r="F331">
        <v>5000</v>
      </c>
      <c r="G331" t="s">
        <v>3</v>
      </c>
    </row>
    <row r="332" spans="1:7" x14ac:dyDescent="0.45">
      <c r="A332" t="s">
        <v>7</v>
      </c>
      <c r="B332" t="s">
        <v>4</v>
      </c>
      <c r="C332" s="1">
        <v>498</v>
      </c>
      <c r="D332" s="1">
        <v>159</v>
      </c>
      <c r="E332">
        <v>229</v>
      </c>
      <c r="F332">
        <v>5950</v>
      </c>
      <c r="G332" t="s">
        <v>2</v>
      </c>
    </row>
    <row r="333" spans="1:7" x14ac:dyDescent="0.45">
      <c r="A333" t="s">
        <v>7</v>
      </c>
      <c r="B333" t="s">
        <v>4</v>
      </c>
      <c r="C333" s="1">
        <v>435</v>
      </c>
      <c r="D333" s="1">
        <v>152</v>
      </c>
      <c r="E333">
        <v>213</v>
      </c>
      <c r="F333">
        <v>4650</v>
      </c>
      <c r="G333" t="s">
        <v>3</v>
      </c>
    </row>
    <row r="334" spans="1:7" x14ac:dyDescent="0.45">
      <c r="A334" t="s">
        <v>7</v>
      </c>
      <c r="B334" t="s">
        <v>4</v>
      </c>
      <c r="C334" s="1">
        <v>515</v>
      </c>
      <c r="D334" s="1">
        <v>163</v>
      </c>
      <c r="E334">
        <v>230</v>
      </c>
      <c r="F334">
        <v>5500</v>
      </c>
      <c r="G334" t="s">
        <v>2</v>
      </c>
    </row>
    <row r="335" spans="1:7" x14ac:dyDescent="0.45">
      <c r="A335" t="s">
        <v>7</v>
      </c>
      <c r="B335" t="s">
        <v>4</v>
      </c>
      <c r="C335" s="1">
        <v>462</v>
      </c>
      <c r="D335" s="1">
        <v>141</v>
      </c>
      <c r="E335">
        <v>217</v>
      </c>
      <c r="F335">
        <v>4375</v>
      </c>
      <c r="G335" t="s">
        <v>3</v>
      </c>
    </row>
    <row r="336" spans="1:7" x14ac:dyDescent="0.45">
      <c r="A336" t="s">
        <v>7</v>
      </c>
      <c r="B336" t="s">
        <v>4</v>
      </c>
      <c r="C336" s="1">
        <v>551</v>
      </c>
      <c r="D336" s="1">
        <v>160</v>
      </c>
      <c r="E336">
        <v>230</v>
      </c>
      <c r="F336">
        <v>5850</v>
      </c>
      <c r="G336" t="s">
        <v>2</v>
      </c>
    </row>
    <row r="337" spans="1:7" x14ac:dyDescent="0.45">
      <c r="A337" t="s">
        <v>7</v>
      </c>
      <c r="B337" t="s">
        <v>4</v>
      </c>
      <c r="C337" s="1">
        <v>445</v>
      </c>
      <c r="D337" s="1">
        <v>157</v>
      </c>
      <c r="E337">
        <v>217</v>
      </c>
      <c r="F337">
        <v>4875</v>
      </c>
      <c r="G337" t="s">
        <v>2</v>
      </c>
    </row>
    <row r="338" spans="1:7" x14ac:dyDescent="0.45">
      <c r="A338" t="s">
        <v>7</v>
      </c>
      <c r="B338" t="s">
        <v>4</v>
      </c>
      <c r="C338" s="1">
        <v>488</v>
      </c>
      <c r="D338" s="1">
        <v>162</v>
      </c>
      <c r="E338">
        <v>222</v>
      </c>
      <c r="F338">
        <v>6000</v>
      </c>
      <c r="G338" t="s">
        <v>2</v>
      </c>
    </row>
    <row r="339" spans="1:7" x14ac:dyDescent="0.45">
      <c r="A339" t="s">
        <v>7</v>
      </c>
      <c r="B339" t="s">
        <v>4</v>
      </c>
      <c r="C339" s="1">
        <v>472</v>
      </c>
      <c r="D339" s="1">
        <v>137</v>
      </c>
      <c r="E339">
        <v>214</v>
      </c>
      <c r="F339">
        <v>4925</v>
      </c>
      <c r="G339" t="s">
        <v>3</v>
      </c>
    </row>
    <row r="340" spans="1:7" x14ac:dyDescent="0.45">
      <c r="A340" t="s">
        <v>7</v>
      </c>
      <c r="B340" t="s">
        <v>4</v>
      </c>
      <c r="C340" s="1">
        <v>468</v>
      </c>
      <c r="D340" s="1">
        <v>143</v>
      </c>
      <c r="E340">
        <v>215</v>
      </c>
      <c r="F340">
        <v>4850</v>
      </c>
      <c r="G340" t="s">
        <v>3</v>
      </c>
    </row>
    <row r="341" spans="1:7" x14ac:dyDescent="0.45">
      <c r="A341" t="s">
        <v>7</v>
      </c>
      <c r="B341" t="s">
        <v>4</v>
      </c>
      <c r="C341" s="1">
        <v>504</v>
      </c>
      <c r="D341" s="1">
        <v>157</v>
      </c>
      <c r="E341">
        <v>222</v>
      </c>
      <c r="F341">
        <v>5750</v>
      </c>
      <c r="G341" t="s">
        <v>2</v>
      </c>
    </row>
    <row r="342" spans="1:7" x14ac:dyDescent="0.45">
      <c r="A342" t="s">
        <v>7</v>
      </c>
      <c r="B342" t="s">
        <v>4</v>
      </c>
      <c r="C342" s="1">
        <v>452</v>
      </c>
      <c r="D342" s="1">
        <v>148</v>
      </c>
      <c r="E342">
        <v>212</v>
      </c>
      <c r="F342">
        <v>5200</v>
      </c>
      <c r="G342" t="s">
        <v>3</v>
      </c>
    </row>
    <row r="343" spans="1:7" x14ac:dyDescent="0.45">
      <c r="A343" t="s">
        <v>7</v>
      </c>
      <c r="B343" t="s">
        <v>4</v>
      </c>
      <c r="C343" s="1">
        <v>499</v>
      </c>
      <c r="D343" s="1">
        <v>161</v>
      </c>
      <c r="E343">
        <v>213</v>
      </c>
      <c r="F343">
        <v>5400</v>
      </c>
      <c r="G343" t="s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E81D-B714-4938-BCEC-D6D6CE290018}">
  <dimension ref="A1:E12"/>
  <sheetViews>
    <sheetView tabSelected="1" workbookViewId="0"/>
  </sheetViews>
  <sheetFormatPr defaultColWidth="10.86328125" defaultRowHeight="14.25" x14ac:dyDescent="0.45"/>
  <cols>
    <col min="1" max="1" width="13.1328125" bestFit="1" customWidth="1"/>
    <col min="2" max="2" width="18.86328125" bestFit="1" customWidth="1"/>
    <col min="3" max="3" width="18.3984375" bestFit="1" customWidth="1"/>
    <col min="4" max="4" width="18.265625" bestFit="1" customWidth="1"/>
    <col min="5" max="5" width="12.86328125" bestFit="1" customWidth="1"/>
  </cols>
  <sheetData>
    <row r="1" spans="1:5" x14ac:dyDescent="0.45">
      <c r="B1" t="s">
        <v>12</v>
      </c>
      <c r="C1" t="s">
        <v>13</v>
      </c>
      <c r="D1" t="s">
        <v>16</v>
      </c>
      <c r="E1" t="s">
        <v>14</v>
      </c>
    </row>
    <row r="2" spans="1:5" x14ac:dyDescent="0.45">
      <c r="A2" s="2" t="s">
        <v>17</v>
      </c>
      <c r="B2" s="6"/>
      <c r="C2" s="6"/>
      <c r="D2" s="6"/>
      <c r="E2" s="6"/>
    </row>
    <row r="3" spans="1:5" x14ac:dyDescent="0.45">
      <c r="A3" s="2" t="s">
        <v>8</v>
      </c>
      <c r="B3" s="6"/>
      <c r="C3" s="6"/>
      <c r="D3" s="6"/>
      <c r="E3" s="6"/>
    </row>
    <row r="4" spans="1:5" x14ac:dyDescent="0.45">
      <c r="A4" s="2" t="s">
        <v>9</v>
      </c>
    </row>
    <row r="5" spans="1:5" x14ac:dyDescent="0.45">
      <c r="A5" s="2" t="s">
        <v>18</v>
      </c>
    </row>
    <row r="6" spans="1:5" x14ac:dyDescent="0.45">
      <c r="A6" s="2" t="s">
        <v>37</v>
      </c>
    </row>
    <row r="7" spans="1:5" x14ac:dyDescent="0.45">
      <c r="A7" s="2" t="s">
        <v>38</v>
      </c>
    </row>
    <row r="8" spans="1:5" x14ac:dyDescent="0.45">
      <c r="A8" s="2" t="s">
        <v>19</v>
      </c>
    </row>
    <row r="9" spans="1:5" x14ac:dyDescent="0.45">
      <c r="A9" s="2" t="s">
        <v>20</v>
      </c>
    </row>
    <row r="10" spans="1:5" x14ac:dyDescent="0.45">
      <c r="A10" s="2" t="s">
        <v>21</v>
      </c>
    </row>
    <row r="11" spans="1:5" x14ac:dyDescent="0.45">
      <c r="A11" s="2" t="s">
        <v>40</v>
      </c>
    </row>
    <row r="12" spans="1:5" x14ac:dyDescent="0.45">
      <c r="A12" s="2" t="s">
        <v>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C7C4-941F-4979-8C82-DC3CC929221D}">
  <dimension ref="A1:H15"/>
  <sheetViews>
    <sheetView workbookViewId="0"/>
  </sheetViews>
  <sheetFormatPr defaultColWidth="10.86328125" defaultRowHeight="14.25" x14ac:dyDescent="0.45"/>
  <cols>
    <col min="5" max="5" width="18.73046875" bestFit="1" customWidth="1"/>
  </cols>
  <sheetData>
    <row r="1" spans="1:8" x14ac:dyDescent="0.45">
      <c r="A1" s="8" t="s">
        <v>12</v>
      </c>
      <c r="B1" s="8"/>
      <c r="C1" s="8" t="s">
        <v>13</v>
      </c>
      <c r="D1" s="8"/>
      <c r="E1" s="8" t="s">
        <v>16</v>
      </c>
      <c r="F1" s="8"/>
      <c r="G1" s="8" t="s">
        <v>14</v>
      </c>
      <c r="H1" s="8"/>
    </row>
    <row r="3" spans="1:8" x14ac:dyDescent="0.45">
      <c r="A3" t="s">
        <v>24</v>
      </c>
      <c r="B3">
        <v>439.21929824561403</v>
      </c>
      <c r="C3" t="s">
        <v>24</v>
      </c>
      <c r="D3">
        <v>171.51169590643275</v>
      </c>
      <c r="E3" t="s">
        <v>24</v>
      </c>
      <c r="F3">
        <v>200.91520467836258</v>
      </c>
      <c r="G3" t="s">
        <v>24</v>
      </c>
      <c r="H3">
        <v>4201.7543859649122</v>
      </c>
    </row>
    <row r="4" spans="1:8" x14ac:dyDescent="0.45">
      <c r="A4" t="s">
        <v>25</v>
      </c>
      <c r="B4">
        <v>2.9522047628517618</v>
      </c>
      <c r="C4" t="s">
        <v>25</v>
      </c>
      <c r="D4">
        <v>1.0678458411270757</v>
      </c>
      <c r="E4" t="s">
        <v>25</v>
      </c>
      <c r="F4">
        <v>0.76037039219971969</v>
      </c>
      <c r="G4" t="s">
        <v>25</v>
      </c>
      <c r="H4">
        <v>43.364734821068588</v>
      </c>
    </row>
    <row r="5" spans="1:8" x14ac:dyDescent="0.45">
      <c r="A5" t="s">
        <v>26</v>
      </c>
      <c r="B5">
        <v>444.5</v>
      </c>
      <c r="C5" t="s">
        <v>26</v>
      </c>
      <c r="D5">
        <v>173</v>
      </c>
      <c r="E5" t="s">
        <v>26</v>
      </c>
      <c r="F5">
        <v>197</v>
      </c>
      <c r="G5" t="s">
        <v>26</v>
      </c>
      <c r="H5">
        <v>4050</v>
      </c>
    </row>
    <row r="6" spans="1:8" x14ac:dyDescent="0.45">
      <c r="A6" t="s">
        <v>27</v>
      </c>
      <c r="B6">
        <v>411</v>
      </c>
      <c r="C6" t="s">
        <v>27</v>
      </c>
      <c r="D6">
        <v>170</v>
      </c>
      <c r="E6" t="s">
        <v>27</v>
      </c>
      <c r="F6">
        <v>190</v>
      </c>
      <c r="G6" t="s">
        <v>27</v>
      </c>
      <c r="H6">
        <v>3800</v>
      </c>
    </row>
    <row r="7" spans="1:8" x14ac:dyDescent="0.45">
      <c r="A7" t="s">
        <v>28</v>
      </c>
      <c r="B7">
        <v>54.595837139265321</v>
      </c>
      <c r="C7" t="s">
        <v>28</v>
      </c>
      <c r="D7">
        <v>19.74793156816779</v>
      </c>
      <c r="E7" t="s">
        <v>28</v>
      </c>
      <c r="F7">
        <v>14.061713679356894</v>
      </c>
      <c r="G7" t="s">
        <v>28</v>
      </c>
      <c r="H7">
        <v>801.95453569809467</v>
      </c>
    </row>
    <row r="8" spans="1:8" x14ac:dyDescent="0.45">
      <c r="A8" t="s">
        <v>29</v>
      </c>
      <c r="B8">
        <v>2980.7054329371826</v>
      </c>
      <c r="C8" t="s">
        <v>29</v>
      </c>
      <c r="D8">
        <v>389.98080122103789</v>
      </c>
      <c r="E8" t="s">
        <v>29</v>
      </c>
      <c r="F8">
        <v>197.73179160021277</v>
      </c>
      <c r="G8" t="s">
        <v>29</v>
      </c>
      <c r="H8">
        <v>643131.07732674666</v>
      </c>
    </row>
    <row r="9" spans="1:8" x14ac:dyDescent="0.45">
      <c r="A9" t="s">
        <v>30</v>
      </c>
      <c r="B9">
        <v>-0.87602696630601029</v>
      </c>
      <c r="C9" t="s">
        <v>30</v>
      </c>
      <c r="D9">
        <v>-0.90686609037324661</v>
      </c>
      <c r="E9" t="s">
        <v>30</v>
      </c>
      <c r="F9">
        <v>-0.98427288618388786</v>
      </c>
      <c r="G9" t="s">
        <v>30</v>
      </c>
      <c r="H9">
        <v>-0.71922186583215231</v>
      </c>
    </row>
    <row r="10" spans="1:8" x14ac:dyDescent="0.45">
      <c r="A10" t="s">
        <v>31</v>
      </c>
      <c r="B10">
        <v>5.3118066991324049E-2</v>
      </c>
      <c r="C10" t="s">
        <v>31</v>
      </c>
      <c r="D10">
        <v>-0.14346462519436598</v>
      </c>
      <c r="E10" t="s">
        <v>31</v>
      </c>
      <c r="F10">
        <v>0.34568183286876802</v>
      </c>
      <c r="G10" t="s">
        <v>31</v>
      </c>
      <c r="H10">
        <v>0.47032933048012343</v>
      </c>
    </row>
    <row r="11" spans="1:8" x14ac:dyDescent="0.45">
      <c r="A11" t="s">
        <v>32</v>
      </c>
      <c r="B11">
        <v>275</v>
      </c>
      <c r="C11" t="s">
        <v>32</v>
      </c>
      <c r="D11">
        <v>84</v>
      </c>
      <c r="E11" t="s">
        <v>32</v>
      </c>
      <c r="F11">
        <v>59</v>
      </c>
      <c r="G11" t="s">
        <v>32</v>
      </c>
      <c r="H11">
        <v>3600</v>
      </c>
    </row>
    <row r="12" spans="1:8" x14ac:dyDescent="0.45">
      <c r="A12" t="s">
        <v>33</v>
      </c>
      <c r="B12">
        <v>321</v>
      </c>
      <c r="C12" t="s">
        <v>33</v>
      </c>
      <c r="D12">
        <v>131</v>
      </c>
      <c r="E12" t="s">
        <v>33</v>
      </c>
      <c r="F12">
        <v>172</v>
      </c>
      <c r="G12" t="s">
        <v>33</v>
      </c>
      <c r="H12">
        <v>2700</v>
      </c>
    </row>
    <row r="13" spans="1:8" x14ac:dyDescent="0.45">
      <c r="A13" t="s">
        <v>34</v>
      </c>
      <c r="B13">
        <v>596</v>
      </c>
      <c r="C13" t="s">
        <v>34</v>
      </c>
      <c r="D13">
        <v>215</v>
      </c>
      <c r="E13" t="s">
        <v>34</v>
      </c>
      <c r="F13">
        <v>231</v>
      </c>
      <c r="G13" t="s">
        <v>34</v>
      </c>
      <c r="H13">
        <v>6300</v>
      </c>
    </row>
    <row r="14" spans="1:8" x14ac:dyDescent="0.45">
      <c r="A14" t="s">
        <v>35</v>
      </c>
      <c r="B14">
        <v>150213</v>
      </c>
      <c r="C14" t="s">
        <v>35</v>
      </c>
      <c r="D14">
        <v>58657</v>
      </c>
      <c r="E14" t="s">
        <v>35</v>
      </c>
      <c r="F14">
        <v>68713</v>
      </c>
      <c r="G14" t="s">
        <v>35</v>
      </c>
      <c r="H14">
        <v>1437000</v>
      </c>
    </row>
    <row r="15" spans="1:8" ht="14.65" thickBot="1" x14ac:dyDescent="0.5">
      <c r="A15" s="7" t="s">
        <v>36</v>
      </c>
      <c r="B15" s="7">
        <v>342</v>
      </c>
      <c r="C15" s="7" t="s">
        <v>36</v>
      </c>
      <c r="D15" s="7">
        <v>342</v>
      </c>
      <c r="E15" s="7" t="s">
        <v>36</v>
      </c>
      <c r="F15" s="7">
        <v>342</v>
      </c>
      <c r="G15" s="7" t="s">
        <v>36</v>
      </c>
      <c r="H15" s="7">
        <v>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2714-1F12-4AE6-87E2-77726912C15A}">
  <dimension ref="A1:K343"/>
  <sheetViews>
    <sheetView topLeftCell="D1" workbookViewId="0">
      <selection activeCell="K10" sqref="K7:K10"/>
    </sheetView>
  </sheetViews>
  <sheetFormatPr defaultColWidth="10.86328125" defaultRowHeight="14.25" x14ac:dyDescent="0.45"/>
  <cols>
    <col min="1" max="1" width="9.3984375" bestFit="1" customWidth="1"/>
    <col min="2" max="2" width="9.86328125" bestFit="1" customWidth="1"/>
    <col min="3" max="3" width="20.59765625" bestFit="1" customWidth="1"/>
    <col min="4" max="4" width="18.3984375" bestFit="1" customWidth="1"/>
    <col min="5" max="5" width="16.86328125" bestFit="1" customWidth="1"/>
    <col min="6" max="6" width="14.86328125" bestFit="1" customWidth="1"/>
    <col min="7" max="7" width="7.86328125" bestFit="1" customWidth="1"/>
  </cols>
  <sheetData>
    <row r="1" spans="1:11" x14ac:dyDescent="0.45">
      <c r="A1" t="s">
        <v>10</v>
      </c>
      <c r="B1" t="s">
        <v>11</v>
      </c>
      <c r="C1" t="s">
        <v>12</v>
      </c>
      <c r="D1" t="s">
        <v>13</v>
      </c>
      <c r="E1" t="s">
        <v>16</v>
      </c>
      <c r="F1" t="s">
        <v>14</v>
      </c>
      <c r="G1" t="s">
        <v>15</v>
      </c>
    </row>
    <row r="2" spans="1:11" x14ac:dyDescent="0.45">
      <c r="A2" s="3" t="s">
        <v>0</v>
      </c>
      <c r="B2" s="3" t="s">
        <v>1</v>
      </c>
      <c r="C2" s="4">
        <v>391</v>
      </c>
      <c r="D2" s="4">
        <v>187</v>
      </c>
      <c r="E2" s="3">
        <v>181</v>
      </c>
      <c r="F2" s="3">
        <v>3750</v>
      </c>
      <c r="G2" s="3" t="s">
        <v>2</v>
      </c>
    </row>
    <row r="3" spans="1:11" x14ac:dyDescent="0.45">
      <c r="A3" s="3" t="s">
        <v>0</v>
      </c>
      <c r="B3" s="3" t="s">
        <v>1</v>
      </c>
      <c r="C3" s="4">
        <v>395</v>
      </c>
      <c r="D3" s="4">
        <v>174</v>
      </c>
      <c r="E3" s="3">
        <v>186</v>
      </c>
      <c r="F3" s="3">
        <v>3800</v>
      </c>
      <c r="G3" s="3" t="s">
        <v>3</v>
      </c>
      <c r="H3" s="5"/>
    </row>
    <row r="4" spans="1:11" x14ac:dyDescent="0.45">
      <c r="A4" s="3" t="s">
        <v>0</v>
      </c>
      <c r="B4" s="3" t="s">
        <v>1</v>
      </c>
      <c r="C4" s="4">
        <v>403</v>
      </c>
      <c r="D4" s="4">
        <v>180</v>
      </c>
      <c r="E4" s="3">
        <v>195</v>
      </c>
      <c r="F4" s="3">
        <v>3250</v>
      </c>
      <c r="G4" s="3" t="s">
        <v>3</v>
      </c>
      <c r="H4" s="5"/>
    </row>
    <row r="5" spans="1:11" x14ac:dyDescent="0.45">
      <c r="A5" s="3" t="s">
        <v>0</v>
      </c>
      <c r="B5" s="3" t="s">
        <v>1</v>
      </c>
      <c r="C5" s="4">
        <v>367</v>
      </c>
      <c r="D5" s="4">
        <v>193</v>
      </c>
      <c r="E5" s="3">
        <v>193</v>
      </c>
      <c r="F5" s="3">
        <v>3450</v>
      </c>
      <c r="G5" s="3" t="s">
        <v>3</v>
      </c>
    </row>
    <row r="6" spans="1:11" x14ac:dyDescent="0.45">
      <c r="A6" s="3" t="s">
        <v>0</v>
      </c>
      <c r="B6" s="3" t="s">
        <v>1</v>
      </c>
      <c r="C6" s="4">
        <v>393</v>
      </c>
      <c r="D6" s="4">
        <v>206</v>
      </c>
      <c r="E6" s="3">
        <v>190</v>
      </c>
      <c r="F6" s="3">
        <v>3650</v>
      </c>
      <c r="G6" s="3" t="s">
        <v>2</v>
      </c>
    </row>
    <row r="7" spans="1:11" x14ac:dyDescent="0.45">
      <c r="A7" s="3" t="s">
        <v>0</v>
      </c>
      <c r="B7" s="3" t="s">
        <v>1</v>
      </c>
      <c r="C7" s="4">
        <v>389</v>
      </c>
      <c r="D7" s="4">
        <v>178</v>
      </c>
      <c r="E7" s="3">
        <v>181</v>
      </c>
      <c r="F7" s="3">
        <v>3625</v>
      </c>
      <c r="G7" s="3" t="s">
        <v>3</v>
      </c>
    </row>
    <row r="8" spans="1:11" x14ac:dyDescent="0.45">
      <c r="A8" s="3" t="s">
        <v>0</v>
      </c>
      <c r="B8" s="3" t="s">
        <v>1</v>
      </c>
      <c r="C8" s="4">
        <v>392</v>
      </c>
      <c r="D8" s="4">
        <v>196</v>
      </c>
      <c r="E8" s="3">
        <v>195</v>
      </c>
      <c r="F8" s="3">
        <v>4675</v>
      </c>
      <c r="G8" s="3" t="s">
        <v>2</v>
      </c>
      <c r="K8">
        <f>SUMIF(G2:G343,"MALE",F2:F343)</f>
        <v>788000</v>
      </c>
    </row>
    <row r="9" spans="1:11" x14ac:dyDescent="0.45">
      <c r="A9" s="3" t="s">
        <v>0</v>
      </c>
      <c r="B9" s="3" t="s">
        <v>1</v>
      </c>
      <c r="C9" s="4">
        <v>341</v>
      </c>
      <c r="D9" s="4">
        <v>181</v>
      </c>
      <c r="E9" s="3">
        <v>193</v>
      </c>
      <c r="F9" s="3">
        <v>3475</v>
      </c>
      <c r="G9" s="3" t="s">
        <v>2</v>
      </c>
      <c r="K9">
        <f>SUMIF(G2:G343,"FEMALE",F2:F343)</f>
        <v>649000</v>
      </c>
    </row>
    <row r="10" spans="1:11" x14ac:dyDescent="0.45">
      <c r="A10" s="3" t="s">
        <v>0</v>
      </c>
      <c r="B10" s="3" t="s">
        <v>1</v>
      </c>
      <c r="C10" s="4">
        <v>420</v>
      </c>
      <c r="D10" s="4">
        <v>202</v>
      </c>
      <c r="E10" s="3">
        <v>190</v>
      </c>
      <c r="F10" s="3">
        <v>4250</v>
      </c>
      <c r="G10" s="3" t="s">
        <v>2</v>
      </c>
      <c r="K10">
        <f>COUNTIF(G2:G343,"FEMALE")</f>
        <v>168</v>
      </c>
    </row>
    <row r="11" spans="1:11" x14ac:dyDescent="0.45">
      <c r="A11" s="3" t="s">
        <v>0</v>
      </c>
      <c r="B11" s="3" t="s">
        <v>1</v>
      </c>
      <c r="C11" s="4">
        <v>378</v>
      </c>
      <c r="D11" s="4">
        <v>171</v>
      </c>
      <c r="E11" s="3">
        <v>186</v>
      </c>
      <c r="F11" s="3">
        <v>3300</v>
      </c>
      <c r="G11" s="3" t="s">
        <v>2</v>
      </c>
      <c r="K11">
        <f>COUNTIF(F2:F343,"&gt;3700")</f>
        <v>225</v>
      </c>
    </row>
    <row r="12" spans="1:11" x14ac:dyDescent="0.45">
      <c r="A12" s="3" t="s">
        <v>0</v>
      </c>
      <c r="B12" s="3" t="s">
        <v>1</v>
      </c>
      <c r="C12" s="4">
        <v>378</v>
      </c>
      <c r="D12" s="4">
        <v>173</v>
      </c>
      <c r="E12" s="3">
        <v>180</v>
      </c>
      <c r="F12" s="3">
        <v>3700</v>
      </c>
      <c r="G12" s="3" t="s">
        <v>2</v>
      </c>
      <c r="K12">
        <f>SUMIFS(F2:F343,A2:A343,"=Adelie",G2:G343,"=MALE")</f>
        <v>309900</v>
      </c>
    </row>
    <row r="13" spans="1:11" x14ac:dyDescent="0.45">
      <c r="A13" s="3" t="s">
        <v>0</v>
      </c>
      <c r="B13" s="3" t="s">
        <v>1</v>
      </c>
      <c r="C13" s="4">
        <v>411</v>
      </c>
      <c r="D13" s="4">
        <v>176</v>
      </c>
      <c r="E13" s="3">
        <v>182</v>
      </c>
      <c r="F13" s="3">
        <v>3200</v>
      </c>
      <c r="G13" s="3" t="s">
        <v>3</v>
      </c>
    </row>
    <row r="14" spans="1:11" x14ac:dyDescent="0.45">
      <c r="A14" s="3" t="s">
        <v>0</v>
      </c>
      <c r="B14" s="3" t="s">
        <v>1</v>
      </c>
      <c r="C14" s="4">
        <v>386</v>
      </c>
      <c r="D14" s="4">
        <v>212</v>
      </c>
      <c r="E14" s="3">
        <v>191</v>
      </c>
      <c r="F14" s="3">
        <v>3800</v>
      </c>
      <c r="G14" s="3" t="s">
        <v>2</v>
      </c>
    </row>
    <row r="15" spans="1:11" x14ac:dyDescent="0.45">
      <c r="A15" s="3" t="s">
        <v>0</v>
      </c>
      <c r="B15" s="3" t="s">
        <v>1</v>
      </c>
      <c r="C15" s="4">
        <v>346</v>
      </c>
      <c r="D15" s="4">
        <v>211</v>
      </c>
      <c r="E15" s="3">
        <v>198</v>
      </c>
      <c r="F15" s="3">
        <v>4400</v>
      </c>
      <c r="G15" s="3" t="s">
        <v>2</v>
      </c>
    </row>
    <row r="16" spans="1:11" x14ac:dyDescent="0.45">
      <c r="A16" s="3" t="s">
        <v>0</v>
      </c>
      <c r="B16" s="3" t="s">
        <v>1</v>
      </c>
      <c r="C16" s="4">
        <v>366</v>
      </c>
      <c r="D16" s="4">
        <v>178</v>
      </c>
      <c r="E16" s="3">
        <v>185</v>
      </c>
      <c r="F16" s="3">
        <v>3700</v>
      </c>
      <c r="G16" s="3" t="s">
        <v>3</v>
      </c>
    </row>
    <row r="17" spans="1:7" x14ac:dyDescent="0.45">
      <c r="A17" s="3" t="s">
        <v>0</v>
      </c>
      <c r="B17" s="3" t="s">
        <v>1</v>
      </c>
      <c r="C17" s="4">
        <v>387</v>
      </c>
      <c r="D17" s="4">
        <v>190</v>
      </c>
      <c r="E17" s="3">
        <v>195</v>
      </c>
      <c r="F17" s="3">
        <v>3450</v>
      </c>
      <c r="G17" s="3" t="s">
        <v>3</v>
      </c>
    </row>
    <row r="18" spans="1:7" x14ac:dyDescent="0.45">
      <c r="A18" s="3" t="s">
        <v>0</v>
      </c>
      <c r="B18" s="3" t="s">
        <v>1</v>
      </c>
      <c r="C18" s="4">
        <v>425</v>
      </c>
      <c r="D18" s="4">
        <v>207</v>
      </c>
      <c r="E18" s="3">
        <v>197</v>
      </c>
      <c r="F18" s="3">
        <v>4500</v>
      </c>
      <c r="G18" s="3" t="s">
        <v>2</v>
      </c>
    </row>
    <row r="19" spans="1:7" x14ac:dyDescent="0.45">
      <c r="A19" s="3" t="s">
        <v>0</v>
      </c>
      <c r="B19" s="3" t="s">
        <v>1</v>
      </c>
      <c r="C19" s="4">
        <v>344</v>
      </c>
      <c r="D19" s="4">
        <v>184</v>
      </c>
      <c r="E19" s="3">
        <v>184</v>
      </c>
      <c r="F19" s="3">
        <v>3325</v>
      </c>
      <c r="G19" s="3" t="s">
        <v>3</v>
      </c>
    </row>
    <row r="20" spans="1:7" x14ac:dyDescent="0.45">
      <c r="A20" s="3" t="s">
        <v>0</v>
      </c>
      <c r="B20" s="3" t="s">
        <v>1</v>
      </c>
      <c r="C20" s="4">
        <v>460</v>
      </c>
      <c r="D20" s="4">
        <v>215</v>
      </c>
      <c r="E20" s="3">
        <v>194</v>
      </c>
      <c r="F20" s="3">
        <v>4200</v>
      </c>
      <c r="G20" s="3" t="s">
        <v>2</v>
      </c>
    </row>
    <row r="21" spans="1:7" x14ac:dyDescent="0.45">
      <c r="A21" s="3" t="s">
        <v>0</v>
      </c>
      <c r="B21" s="3" t="s">
        <v>4</v>
      </c>
      <c r="C21" s="4">
        <v>378</v>
      </c>
      <c r="D21" s="4">
        <v>183</v>
      </c>
      <c r="E21" s="3">
        <v>174</v>
      </c>
      <c r="F21" s="3">
        <v>3400</v>
      </c>
      <c r="G21" s="3" t="s">
        <v>3</v>
      </c>
    </row>
    <row r="22" spans="1:7" x14ac:dyDescent="0.45">
      <c r="A22" s="3" t="s">
        <v>0</v>
      </c>
      <c r="B22" s="3" t="s">
        <v>4</v>
      </c>
      <c r="C22" s="4">
        <v>377</v>
      </c>
      <c r="D22" s="4">
        <v>187</v>
      </c>
      <c r="E22" s="3">
        <v>180</v>
      </c>
      <c r="F22" s="3">
        <v>3600</v>
      </c>
      <c r="G22" s="3" t="s">
        <v>2</v>
      </c>
    </row>
    <row r="23" spans="1:7" x14ac:dyDescent="0.45">
      <c r="A23" s="3" t="s">
        <v>0</v>
      </c>
      <c r="B23" s="3" t="s">
        <v>4</v>
      </c>
      <c r="C23" s="4">
        <v>359</v>
      </c>
      <c r="D23" s="4">
        <v>192</v>
      </c>
      <c r="E23" s="3">
        <v>189</v>
      </c>
      <c r="F23" s="3">
        <v>3800</v>
      </c>
      <c r="G23" s="3" t="s">
        <v>3</v>
      </c>
    </row>
    <row r="24" spans="1:7" x14ac:dyDescent="0.45">
      <c r="A24" s="3" t="s">
        <v>0</v>
      </c>
      <c r="B24" s="3" t="s">
        <v>4</v>
      </c>
      <c r="C24" s="4">
        <v>382</v>
      </c>
      <c r="D24" s="4">
        <v>181</v>
      </c>
      <c r="E24" s="3">
        <v>185</v>
      </c>
      <c r="F24" s="3">
        <v>3950</v>
      </c>
      <c r="G24" s="3" t="s">
        <v>2</v>
      </c>
    </row>
    <row r="25" spans="1:7" x14ac:dyDescent="0.45">
      <c r="A25" s="3" t="s">
        <v>0</v>
      </c>
      <c r="B25" s="3" t="s">
        <v>4</v>
      </c>
      <c r="C25" s="4">
        <v>388</v>
      </c>
      <c r="D25" s="4">
        <v>172</v>
      </c>
      <c r="E25" s="3">
        <v>180</v>
      </c>
      <c r="F25" s="3">
        <v>3800</v>
      </c>
      <c r="G25" s="3" t="s">
        <v>2</v>
      </c>
    </row>
    <row r="26" spans="1:7" x14ac:dyDescent="0.45">
      <c r="A26" s="3" t="s">
        <v>0</v>
      </c>
      <c r="B26" s="3" t="s">
        <v>4</v>
      </c>
      <c r="C26" s="4">
        <v>353</v>
      </c>
      <c r="D26" s="4">
        <v>189</v>
      </c>
      <c r="E26" s="3">
        <v>187</v>
      </c>
      <c r="F26" s="3">
        <v>3800</v>
      </c>
      <c r="G26" s="3" t="s">
        <v>3</v>
      </c>
    </row>
    <row r="27" spans="1:7" x14ac:dyDescent="0.45">
      <c r="A27" s="3" t="s">
        <v>0</v>
      </c>
      <c r="B27" s="3" t="s">
        <v>4</v>
      </c>
      <c r="C27" s="4">
        <v>406</v>
      </c>
      <c r="D27" s="4">
        <v>186</v>
      </c>
      <c r="E27" s="3">
        <v>183</v>
      </c>
      <c r="F27" s="3">
        <v>3550</v>
      </c>
      <c r="G27" s="3" t="s">
        <v>2</v>
      </c>
    </row>
    <row r="28" spans="1:7" x14ac:dyDescent="0.45">
      <c r="A28" s="3" t="s">
        <v>0</v>
      </c>
      <c r="B28" s="3" t="s">
        <v>4</v>
      </c>
      <c r="C28" s="4">
        <v>405</v>
      </c>
      <c r="D28" s="4">
        <v>179</v>
      </c>
      <c r="E28" s="3">
        <v>187</v>
      </c>
      <c r="F28" s="3">
        <v>3200</v>
      </c>
      <c r="G28" s="3" t="s">
        <v>3</v>
      </c>
    </row>
    <row r="29" spans="1:7" x14ac:dyDescent="0.45">
      <c r="A29" s="3" t="s">
        <v>0</v>
      </c>
      <c r="B29" s="3" t="s">
        <v>4</v>
      </c>
      <c r="C29" s="4">
        <v>379</v>
      </c>
      <c r="D29" s="4">
        <v>186</v>
      </c>
      <c r="E29" s="3">
        <v>172</v>
      </c>
      <c r="F29" s="3">
        <v>3150</v>
      </c>
      <c r="G29" s="3" t="s">
        <v>3</v>
      </c>
    </row>
    <row r="30" spans="1:7" x14ac:dyDescent="0.45">
      <c r="A30" s="3" t="s">
        <v>0</v>
      </c>
      <c r="B30" s="3" t="s">
        <v>4</v>
      </c>
      <c r="C30" s="4">
        <v>405</v>
      </c>
      <c r="D30" s="4">
        <v>189</v>
      </c>
      <c r="E30" s="3">
        <v>180</v>
      </c>
      <c r="F30" s="3">
        <v>3950</v>
      </c>
      <c r="G30" s="3" t="s">
        <v>2</v>
      </c>
    </row>
    <row r="31" spans="1:7" x14ac:dyDescent="0.45">
      <c r="A31" s="3" t="s">
        <v>0</v>
      </c>
      <c r="B31" s="3" t="s">
        <v>5</v>
      </c>
      <c r="C31" s="4">
        <v>395</v>
      </c>
      <c r="D31" s="4">
        <v>167</v>
      </c>
      <c r="E31" s="3">
        <v>178</v>
      </c>
      <c r="F31" s="3">
        <v>3250</v>
      </c>
      <c r="G31" s="3" t="s">
        <v>3</v>
      </c>
    </row>
    <row r="32" spans="1:7" x14ac:dyDescent="0.45">
      <c r="A32" s="3" t="s">
        <v>0</v>
      </c>
      <c r="B32" s="3" t="s">
        <v>5</v>
      </c>
      <c r="C32" s="4">
        <v>372</v>
      </c>
      <c r="D32" s="4">
        <v>181</v>
      </c>
      <c r="E32" s="3">
        <v>178</v>
      </c>
      <c r="F32" s="3">
        <v>3900</v>
      </c>
      <c r="G32" s="3" t="s">
        <v>2</v>
      </c>
    </row>
    <row r="33" spans="1:7" x14ac:dyDescent="0.45">
      <c r="A33" s="3" t="s">
        <v>0</v>
      </c>
      <c r="B33" s="3" t="s">
        <v>5</v>
      </c>
      <c r="C33" s="4">
        <v>395</v>
      </c>
      <c r="D33" s="4">
        <v>178</v>
      </c>
      <c r="E33" s="3">
        <v>188</v>
      </c>
      <c r="F33" s="3">
        <v>3300</v>
      </c>
      <c r="G33" s="3" t="s">
        <v>3</v>
      </c>
    </row>
    <row r="34" spans="1:7" x14ac:dyDescent="0.45">
      <c r="A34" s="3" t="s">
        <v>0</v>
      </c>
      <c r="B34" s="3" t="s">
        <v>5</v>
      </c>
      <c r="C34" s="4">
        <v>409</v>
      </c>
      <c r="D34" s="4">
        <v>189</v>
      </c>
      <c r="E34" s="3">
        <v>184</v>
      </c>
      <c r="F34" s="3">
        <v>3900</v>
      </c>
      <c r="G34" s="3" t="s">
        <v>2</v>
      </c>
    </row>
    <row r="35" spans="1:7" x14ac:dyDescent="0.45">
      <c r="A35" s="3" t="s">
        <v>0</v>
      </c>
      <c r="B35" s="3" t="s">
        <v>5</v>
      </c>
      <c r="C35" s="4">
        <v>364</v>
      </c>
      <c r="D35" s="4">
        <v>170</v>
      </c>
      <c r="E35" s="3">
        <v>195</v>
      </c>
      <c r="F35" s="3">
        <v>3325</v>
      </c>
      <c r="G35" s="3" t="s">
        <v>3</v>
      </c>
    </row>
    <row r="36" spans="1:7" x14ac:dyDescent="0.45">
      <c r="A36" s="3" t="s">
        <v>0</v>
      </c>
      <c r="B36" s="3" t="s">
        <v>5</v>
      </c>
      <c r="C36" s="4">
        <v>392</v>
      </c>
      <c r="D36" s="4">
        <v>211</v>
      </c>
      <c r="E36" s="3">
        <v>196</v>
      </c>
      <c r="F36" s="3">
        <v>4150</v>
      </c>
      <c r="G36" s="3" t="s">
        <v>2</v>
      </c>
    </row>
    <row r="37" spans="1:7" x14ac:dyDescent="0.45">
      <c r="A37" s="3" t="s">
        <v>0</v>
      </c>
      <c r="B37" s="3" t="s">
        <v>5</v>
      </c>
      <c r="C37" s="4">
        <v>388</v>
      </c>
      <c r="D37" s="4">
        <v>200</v>
      </c>
      <c r="E37" s="3">
        <v>190</v>
      </c>
      <c r="F37" s="3">
        <v>3950</v>
      </c>
      <c r="G37" s="3" t="s">
        <v>2</v>
      </c>
    </row>
    <row r="38" spans="1:7" x14ac:dyDescent="0.45">
      <c r="A38" s="3" t="s">
        <v>0</v>
      </c>
      <c r="B38" s="3" t="s">
        <v>5</v>
      </c>
      <c r="C38" s="4">
        <v>422</v>
      </c>
      <c r="D38" s="4">
        <v>185</v>
      </c>
      <c r="E38" s="3">
        <v>180</v>
      </c>
      <c r="F38" s="3">
        <v>3550</v>
      </c>
      <c r="G38" s="3" t="s">
        <v>3</v>
      </c>
    </row>
    <row r="39" spans="1:7" x14ac:dyDescent="0.45">
      <c r="A39" s="3" t="s">
        <v>0</v>
      </c>
      <c r="B39" s="3" t="s">
        <v>5</v>
      </c>
      <c r="C39" s="4">
        <v>376</v>
      </c>
      <c r="D39" s="4">
        <v>193</v>
      </c>
      <c r="E39" s="3">
        <v>181</v>
      </c>
      <c r="F39" s="3">
        <v>3300</v>
      </c>
      <c r="G39" s="3" t="s">
        <v>3</v>
      </c>
    </row>
    <row r="40" spans="1:7" x14ac:dyDescent="0.45">
      <c r="A40" s="3" t="s">
        <v>0</v>
      </c>
      <c r="B40" s="3" t="s">
        <v>5</v>
      </c>
      <c r="C40" s="4">
        <v>398</v>
      </c>
      <c r="D40" s="4">
        <v>191</v>
      </c>
      <c r="E40" s="3">
        <v>184</v>
      </c>
      <c r="F40" s="3">
        <v>4650</v>
      </c>
      <c r="G40" s="3" t="s">
        <v>2</v>
      </c>
    </row>
    <row r="41" spans="1:7" x14ac:dyDescent="0.45">
      <c r="A41" s="3" t="s">
        <v>0</v>
      </c>
      <c r="B41" s="3" t="s">
        <v>5</v>
      </c>
      <c r="C41" s="4">
        <v>365</v>
      </c>
      <c r="D41" s="4">
        <v>180</v>
      </c>
      <c r="E41" s="3">
        <v>182</v>
      </c>
      <c r="F41" s="3">
        <v>3150</v>
      </c>
      <c r="G41" s="3" t="s">
        <v>3</v>
      </c>
    </row>
    <row r="42" spans="1:7" x14ac:dyDescent="0.45">
      <c r="A42" s="3" t="s">
        <v>0</v>
      </c>
      <c r="B42" s="3" t="s">
        <v>5</v>
      </c>
      <c r="C42" s="4">
        <v>408</v>
      </c>
      <c r="D42" s="4">
        <v>184</v>
      </c>
      <c r="E42" s="3">
        <v>195</v>
      </c>
      <c r="F42" s="3">
        <v>3900</v>
      </c>
      <c r="G42" s="3" t="s">
        <v>2</v>
      </c>
    </row>
    <row r="43" spans="1:7" x14ac:dyDescent="0.45">
      <c r="A43" s="3" t="s">
        <v>0</v>
      </c>
      <c r="B43" s="3" t="s">
        <v>5</v>
      </c>
      <c r="C43" s="4">
        <v>360</v>
      </c>
      <c r="D43" s="4">
        <v>185</v>
      </c>
      <c r="E43" s="3">
        <v>186</v>
      </c>
      <c r="F43" s="3">
        <v>3100</v>
      </c>
      <c r="G43" s="3" t="s">
        <v>3</v>
      </c>
    </row>
    <row r="44" spans="1:7" x14ac:dyDescent="0.45">
      <c r="A44" s="3" t="s">
        <v>0</v>
      </c>
      <c r="B44" s="3" t="s">
        <v>5</v>
      </c>
      <c r="C44" s="4">
        <v>441</v>
      </c>
      <c r="D44" s="4">
        <v>197</v>
      </c>
      <c r="E44" s="3">
        <v>196</v>
      </c>
      <c r="F44" s="3">
        <v>4400</v>
      </c>
      <c r="G44" s="3" t="s">
        <v>2</v>
      </c>
    </row>
    <row r="45" spans="1:7" x14ac:dyDescent="0.45">
      <c r="A45" s="3" t="s">
        <v>0</v>
      </c>
      <c r="B45" s="3" t="s">
        <v>5</v>
      </c>
      <c r="C45" s="4">
        <v>370</v>
      </c>
      <c r="D45" s="4">
        <v>169</v>
      </c>
      <c r="E45" s="3">
        <v>185</v>
      </c>
      <c r="F45" s="3">
        <v>3000</v>
      </c>
      <c r="G45" s="3" t="s">
        <v>3</v>
      </c>
    </row>
    <row r="46" spans="1:7" x14ac:dyDescent="0.45">
      <c r="A46" s="3" t="s">
        <v>0</v>
      </c>
      <c r="B46" s="3" t="s">
        <v>5</v>
      </c>
      <c r="C46" s="4">
        <v>396</v>
      </c>
      <c r="D46" s="4">
        <v>188</v>
      </c>
      <c r="E46" s="3">
        <v>190</v>
      </c>
      <c r="F46" s="3">
        <v>4600</v>
      </c>
      <c r="G46" s="3" t="s">
        <v>2</v>
      </c>
    </row>
    <row r="47" spans="1:7" x14ac:dyDescent="0.45">
      <c r="A47" s="3" t="s">
        <v>0</v>
      </c>
      <c r="B47" s="3" t="s">
        <v>5</v>
      </c>
      <c r="C47" s="4">
        <v>411</v>
      </c>
      <c r="D47" s="4">
        <v>190</v>
      </c>
      <c r="E47" s="3">
        <v>182</v>
      </c>
      <c r="F47" s="3">
        <v>3425</v>
      </c>
      <c r="G47" s="3" t="s">
        <v>2</v>
      </c>
    </row>
    <row r="48" spans="1:7" x14ac:dyDescent="0.45">
      <c r="A48" s="3" t="s">
        <v>0</v>
      </c>
      <c r="B48" s="3" t="s">
        <v>5</v>
      </c>
      <c r="C48" s="4">
        <v>375</v>
      </c>
      <c r="D48" s="4">
        <v>189</v>
      </c>
      <c r="E48" s="3">
        <v>179</v>
      </c>
      <c r="F48" s="3">
        <v>2975</v>
      </c>
      <c r="G48" s="3" t="s">
        <v>3</v>
      </c>
    </row>
    <row r="49" spans="1:7" x14ac:dyDescent="0.45">
      <c r="A49" s="3" t="s">
        <v>0</v>
      </c>
      <c r="B49" s="3" t="s">
        <v>5</v>
      </c>
      <c r="C49" s="4">
        <v>360</v>
      </c>
      <c r="D49" s="4">
        <v>179</v>
      </c>
      <c r="E49" s="3">
        <v>190</v>
      </c>
      <c r="F49" s="3">
        <v>3450</v>
      </c>
      <c r="G49" s="3" t="s">
        <v>3</v>
      </c>
    </row>
    <row r="50" spans="1:7" x14ac:dyDescent="0.45">
      <c r="A50" s="3" t="s">
        <v>0</v>
      </c>
      <c r="B50" s="3" t="s">
        <v>5</v>
      </c>
      <c r="C50" s="4">
        <v>423</v>
      </c>
      <c r="D50" s="4">
        <v>212</v>
      </c>
      <c r="E50" s="3">
        <v>191</v>
      </c>
      <c r="F50" s="3">
        <v>4150</v>
      </c>
      <c r="G50" s="3" t="s">
        <v>2</v>
      </c>
    </row>
    <row r="51" spans="1:7" x14ac:dyDescent="0.45">
      <c r="A51" s="3" t="s">
        <v>0</v>
      </c>
      <c r="B51" s="3" t="s">
        <v>4</v>
      </c>
      <c r="C51" s="4">
        <v>396</v>
      </c>
      <c r="D51" s="4">
        <v>177</v>
      </c>
      <c r="E51" s="3">
        <v>186</v>
      </c>
      <c r="F51" s="3">
        <v>3500</v>
      </c>
      <c r="G51" s="3" t="s">
        <v>3</v>
      </c>
    </row>
    <row r="52" spans="1:7" x14ac:dyDescent="0.45">
      <c r="A52" s="3" t="s">
        <v>0</v>
      </c>
      <c r="B52" s="3" t="s">
        <v>4</v>
      </c>
      <c r="C52" s="4">
        <v>401</v>
      </c>
      <c r="D52" s="4">
        <v>189</v>
      </c>
      <c r="E52" s="3">
        <v>188</v>
      </c>
      <c r="F52" s="3">
        <v>4300</v>
      </c>
      <c r="G52" s="3" t="s">
        <v>2</v>
      </c>
    </row>
    <row r="53" spans="1:7" x14ac:dyDescent="0.45">
      <c r="A53" s="3" t="s">
        <v>0</v>
      </c>
      <c r="B53" s="3" t="s">
        <v>4</v>
      </c>
      <c r="C53" s="4">
        <v>350</v>
      </c>
      <c r="D53" s="4">
        <v>179</v>
      </c>
      <c r="E53" s="3">
        <v>190</v>
      </c>
      <c r="F53" s="3">
        <v>3450</v>
      </c>
      <c r="G53" s="3" t="s">
        <v>3</v>
      </c>
    </row>
    <row r="54" spans="1:7" x14ac:dyDescent="0.45">
      <c r="A54" s="3" t="s">
        <v>0</v>
      </c>
      <c r="B54" s="3" t="s">
        <v>4</v>
      </c>
      <c r="C54" s="4">
        <v>420</v>
      </c>
      <c r="D54" s="4">
        <v>195</v>
      </c>
      <c r="E54" s="3">
        <v>200</v>
      </c>
      <c r="F54" s="3">
        <v>4050</v>
      </c>
      <c r="G54" s="3" t="s">
        <v>2</v>
      </c>
    </row>
    <row r="55" spans="1:7" x14ac:dyDescent="0.45">
      <c r="A55" s="3" t="s">
        <v>0</v>
      </c>
      <c r="B55" s="3" t="s">
        <v>4</v>
      </c>
      <c r="C55" s="4">
        <v>345</v>
      </c>
      <c r="D55" s="4">
        <v>181</v>
      </c>
      <c r="E55" s="3">
        <v>187</v>
      </c>
      <c r="F55" s="3">
        <v>2900</v>
      </c>
      <c r="G55" s="3" t="s">
        <v>3</v>
      </c>
    </row>
    <row r="56" spans="1:7" x14ac:dyDescent="0.45">
      <c r="A56" s="3" t="s">
        <v>0</v>
      </c>
      <c r="B56" s="3" t="s">
        <v>4</v>
      </c>
      <c r="C56" s="4">
        <v>414</v>
      </c>
      <c r="D56" s="4">
        <v>186</v>
      </c>
      <c r="E56" s="3">
        <v>191</v>
      </c>
      <c r="F56" s="3">
        <v>3700</v>
      </c>
      <c r="G56" s="3" t="s">
        <v>2</v>
      </c>
    </row>
    <row r="57" spans="1:7" x14ac:dyDescent="0.45">
      <c r="A57" s="3" t="s">
        <v>0</v>
      </c>
      <c r="B57" s="3" t="s">
        <v>4</v>
      </c>
      <c r="C57" s="4">
        <v>390</v>
      </c>
      <c r="D57" s="4">
        <v>175</v>
      </c>
      <c r="E57" s="3">
        <v>186</v>
      </c>
      <c r="F57" s="3">
        <v>3550</v>
      </c>
      <c r="G57" s="3" t="s">
        <v>3</v>
      </c>
    </row>
    <row r="58" spans="1:7" x14ac:dyDescent="0.45">
      <c r="A58" s="3" t="s">
        <v>0</v>
      </c>
      <c r="B58" s="3" t="s">
        <v>4</v>
      </c>
      <c r="C58" s="4">
        <v>406</v>
      </c>
      <c r="D58" s="4">
        <v>188</v>
      </c>
      <c r="E58" s="3">
        <v>193</v>
      </c>
      <c r="F58" s="3">
        <v>3800</v>
      </c>
      <c r="G58" s="3" t="s">
        <v>2</v>
      </c>
    </row>
    <row r="59" spans="1:7" x14ac:dyDescent="0.45">
      <c r="A59" s="3" t="s">
        <v>0</v>
      </c>
      <c r="B59" s="3" t="s">
        <v>4</v>
      </c>
      <c r="C59" s="4">
        <v>365</v>
      </c>
      <c r="D59" s="4">
        <v>166</v>
      </c>
      <c r="E59" s="3">
        <v>181</v>
      </c>
      <c r="F59" s="3">
        <v>2850</v>
      </c>
      <c r="G59" s="3" t="s">
        <v>3</v>
      </c>
    </row>
    <row r="60" spans="1:7" x14ac:dyDescent="0.45">
      <c r="A60" s="3" t="s">
        <v>0</v>
      </c>
      <c r="B60" s="3" t="s">
        <v>4</v>
      </c>
      <c r="C60" s="4">
        <v>376</v>
      </c>
      <c r="D60" s="4">
        <v>191</v>
      </c>
      <c r="E60" s="3">
        <v>194</v>
      </c>
      <c r="F60" s="3">
        <v>3750</v>
      </c>
      <c r="G60" s="3" t="s">
        <v>2</v>
      </c>
    </row>
    <row r="61" spans="1:7" x14ac:dyDescent="0.45">
      <c r="A61" s="3" t="s">
        <v>0</v>
      </c>
      <c r="B61" s="3" t="s">
        <v>4</v>
      </c>
      <c r="C61" s="4">
        <v>357</v>
      </c>
      <c r="D61" s="4">
        <v>169</v>
      </c>
      <c r="E61" s="3">
        <v>185</v>
      </c>
      <c r="F61" s="3">
        <v>3150</v>
      </c>
      <c r="G61" s="3" t="s">
        <v>3</v>
      </c>
    </row>
    <row r="62" spans="1:7" x14ac:dyDescent="0.45">
      <c r="A62" s="3" t="s">
        <v>0</v>
      </c>
      <c r="B62" s="3" t="s">
        <v>4</v>
      </c>
      <c r="C62" s="4">
        <v>413</v>
      </c>
      <c r="D62" s="4">
        <v>211</v>
      </c>
      <c r="E62" s="3">
        <v>195</v>
      </c>
      <c r="F62" s="3">
        <v>4400</v>
      </c>
      <c r="G62" s="3" t="s">
        <v>2</v>
      </c>
    </row>
    <row r="63" spans="1:7" x14ac:dyDescent="0.45">
      <c r="A63" s="3" t="s">
        <v>0</v>
      </c>
      <c r="B63" s="3" t="s">
        <v>4</v>
      </c>
      <c r="C63" s="4">
        <v>376</v>
      </c>
      <c r="D63" s="4">
        <v>170</v>
      </c>
      <c r="E63" s="3">
        <v>185</v>
      </c>
      <c r="F63" s="3">
        <v>3600</v>
      </c>
      <c r="G63" s="3" t="s">
        <v>3</v>
      </c>
    </row>
    <row r="64" spans="1:7" x14ac:dyDescent="0.45">
      <c r="A64" s="3" t="s">
        <v>0</v>
      </c>
      <c r="B64" s="3" t="s">
        <v>4</v>
      </c>
      <c r="C64" s="4">
        <v>411</v>
      </c>
      <c r="D64" s="4">
        <v>182</v>
      </c>
      <c r="E64" s="3">
        <v>192</v>
      </c>
      <c r="F64" s="3">
        <v>4050</v>
      </c>
      <c r="G64" s="3" t="s">
        <v>2</v>
      </c>
    </row>
    <row r="65" spans="1:7" x14ac:dyDescent="0.45">
      <c r="A65" s="3" t="s">
        <v>0</v>
      </c>
      <c r="B65" s="3" t="s">
        <v>4</v>
      </c>
      <c r="C65" s="4">
        <v>364</v>
      </c>
      <c r="D65" s="4">
        <v>171</v>
      </c>
      <c r="E65" s="3">
        <v>184</v>
      </c>
      <c r="F65" s="3">
        <v>2850</v>
      </c>
      <c r="G65" s="3" t="s">
        <v>3</v>
      </c>
    </row>
    <row r="66" spans="1:7" x14ac:dyDescent="0.45">
      <c r="A66" s="3" t="s">
        <v>0</v>
      </c>
      <c r="B66" s="3" t="s">
        <v>4</v>
      </c>
      <c r="C66" s="4">
        <v>416</v>
      </c>
      <c r="D66" s="4">
        <v>180</v>
      </c>
      <c r="E66" s="3">
        <v>192</v>
      </c>
      <c r="F66" s="3">
        <v>3950</v>
      </c>
      <c r="G66" s="3" t="s">
        <v>2</v>
      </c>
    </row>
    <row r="67" spans="1:7" x14ac:dyDescent="0.45">
      <c r="A67" s="3" t="s">
        <v>0</v>
      </c>
      <c r="B67" s="3" t="s">
        <v>4</v>
      </c>
      <c r="C67" s="4">
        <v>355</v>
      </c>
      <c r="D67" s="4">
        <v>162</v>
      </c>
      <c r="E67" s="3">
        <v>195</v>
      </c>
      <c r="F67" s="3">
        <v>3350</v>
      </c>
      <c r="G67" s="3" t="s">
        <v>3</v>
      </c>
    </row>
    <row r="68" spans="1:7" x14ac:dyDescent="0.45">
      <c r="A68" s="3" t="s">
        <v>0</v>
      </c>
      <c r="B68" s="3" t="s">
        <v>4</v>
      </c>
      <c r="C68" s="4">
        <v>411</v>
      </c>
      <c r="D68" s="4">
        <v>191</v>
      </c>
      <c r="E68" s="3">
        <v>188</v>
      </c>
      <c r="F68" s="3">
        <v>4100</v>
      </c>
      <c r="G68" s="3" t="s">
        <v>2</v>
      </c>
    </row>
    <row r="69" spans="1:7" x14ac:dyDescent="0.45">
      <c r="A69" s="3" t="s">
        <v>0</v>
      </c>
      <c r="B69" s="3" t="s">
        <v>1</v>
      </c>
      <c r="C69" s="4">
        <v>359</v>
      </c>
      <c r="D69" s="4">
        <v>166</v>
      </c>
      <c r="E69" s="3">
        <v>190</v>
      </c>
      <c r="F69" s="3">
        <v>3050</v>
      </c>
      <c r="G69" s="3" t="s">
        <v>3</v>
      </c>
    </row>
    <row r="70" spans="1:7" x14ac:dyDescent="0.45">
      <c r="A70" s="3" t="s">
        <v>0</v>
      </c>
      <c r="B70" s="3" t="s">
        <v>1</v>
      </c>
      <c r="C70" s="4">
        <v>418</v>
      </c>
      <c r="D70" s="4">
        <v>194</v>
      </c>
      <c r="E70" s="3">
        <v>198</v>
      </c>
      <c r="F70" s="3">
        <v>4450</v>
      </c>
      <c r="G70" s="3" t="s">
        <v>2</v>
      </c>
    </row>
    <row r="71" spans="1:7" x14ac:dyDescent="0.45">
      <c r="A71" s="3" t="s">
        <v>0</v>
      </c>
      <c r="B71" s="3" t="s">
        <v>1</v>
      </c>
      <c r="C71" s="4">
        <v>335</v>
      </c>
      <c r="D71" s="4">
        <v>190</v>
      </c>
      <c r="E71" s="3">
        <v>190</v>
      </c>
      <c r="F71" s="3">
        <v>3600</v>
      </c>
      <c r="G71" s="3" t="s">
        <v>3</v>
      </c>
    </row>
    <row r="72" spans="1:7" x14ac:dyDescent="0.45">
      <c r="A72" s="3" t="s">
        <v>0</v>
      </c>
      <c r="B72" s="3" t="s">
        <v>1</v>
      </c>
      <c r="C72" s="4">
        <v>397</v>
      </c>
      <c r="D72" s="4">
        <v>184</v>
      </c>
      <c r="E72" s="3">
        <v>190</v>
      </c>
      <c r="F72" s="3">
        <v>3900</v>
      </c>
      <c r="G72" s="3" t="s">
        <v>2</v>
      </c>
    </row>
    <row r="73" spans="1:7" x14ac:dyDescent="0.45">
      <c r="A73" s="3" t="s">
        <v>0</v>
      </c>
      <c r="B73" s="3" t="s">
        <v>1</v>
      </c>
      <c r="C73" s="4">
        <v>396</v>
      </c>
      <c r="D73" s="4">
        <v>172</v>
      </c>
      <c r="E73" s="3">
        <v>196</v>
      </c>
      <c r="F73" s="3">
        <v>3550</v>
      </c>
      <c r="G73" s="3" t="s">
        <v>3</v>
      </c>
    </row>
    <row r="74" spans="1:7" x14ac:dyDescent="0.45">
      <c r="A74" s="3" t="s">
        <v>0</v>
      </c>
      <c r="B74" s="3" t="s">
        <v>1</v>
      </c>
      <c r="C74" s="4">
        <v>458</v>
      </c>
      <c r="D74" s="4">
        <v>189</v>
      </c>
      <c r="E74" s="3">
        <v>197</v>
      </c>
      <c r="F74" s="3">
        <v>4150</v>
      </c>
      <c r="G74" s="3" t="s">
        <v>2</v>
      </c>
    </row>
    <row r="75" spans="1:7" x14ac:dyDescent="0.45">
      <c r="A75" s="3" t="s">
        <v>0</v>
      </c>
      <c r="B75" s="3" t="s">
        <v>1</v>
      </c>
      <c r="C75" s="4">
        <v>355</v>
      </c>
      <c r="D75" s="4">
        <v>175</v>
      </c>
      <c r="E75" s="3">
        <v>190</v>
      </c>
      <c r="F75" s="3">
        <v>3700</v>
      </c>
      <c r="G75" s="3" t="s">
        <v>3</v>
      </c>
    </row>
    <row r="76" spans="1:7" x14ac:dyDescent="0.45">
      <c r="A76" s="3" t="s">
        <v>0</v>
      </c>
      <c r="B76" s="3" t="s">
        <v>1</v>
      </c>
      <c r="C76" s="4">
        <v>428</v>
      </c>
      <c r="D76" s="4">
        <v>185</v>
      </c>
      <c r="E76" s="3">
        <v>195</v>
      </c>
      <c r="F76" s="3">
        <v>4250</v>
      </c>
      <c r="G76" s="3" t="s">
        <v>2</v>
      </c>
    </row>
    <row r="77" spans="1:7" x14ac:dyDescent="0.45">
      <c r="A77" s="3" t="s">
        <v>0</v>
      </c>
      <c r="B77" s="3" t="s">
        <v>1</v>
      </c>
      <c r="C77" s="4">
        <v>409</v>
      </c>
      <c r="D77" s="4">
        <v>168</v>
      </c>
      <c r="E77" s="3">
        <v>191</v>
      </c>
      <c r="F77" s="3">
        <v>3700</v>
      </c>
      <c r="G77" s="3" t="s">
        <v>3</v>
      </c>
    </row>
    <row r="78" spans="1:7" x14ac:dyDescent="0.45">
      <c r="A78" s="3" t="s">
        <v>0</v>
      </c>
      <c r="B78" s="3" t="s">
        <v>1</v>
      </c>
      <c r="C78" s="4">
        <v>372</v>
      </c>
      <c r="D78" s="4">
        <v>194</v>
      </c>
      <c r="E78" s="3">
        <v>184</v>
      </c>
      <c r="F78" s="3">
        <v>3900</v>
      </c>
      <c r="G78" s="3" t="s">
        <v>2</v>
      </c>
    </row>
    <row r="79" spans="1:7" x14ac:dyDescent="0.45">
      <c r="A79" s="3" t="s">
        <v>0</v>
      </c>
      <c r="B79" s="3" t="s">
        <v>1</v>
      </c>
      <c r="C79" s="4">
        <v>362</v>
      </c>
      <c r="D79" s="4">
        <v>161</v>
      </c>
      <c r="E79" s="3">
        <v>187</v>
      </c>
      <c r="F79" s="3">
        <v>3550</v>
      </c>
      <c r="G79" s="3" t="s">
        <v>3</v>
      </c>
    </row>
    <row r="80" spans="1:7" x14ac:dyDescent="0.45">
      <c r="A80" s="3" t="s">
        <v>0</v>
      </c>
      <c r="B80" s="3" t="s">
        <v>1</v>
      </c>
      <c r="C80" s="4">
        <v>421</v>
      </c>
      <c r="D80" s="4">
        <v>191</v>
      </c>
      <c r="E80" s="3">
        <v>195</v>
      </c>
      <c r="F80" s="3">
        <v>4000</v>
      </c>
      <c r="G80" s="3" t="s">
        <v>2</v>
      </c>
    </row>
    <row r="81" spans="1:7" x14ac:dyDescent="0.45">
      <c r="A81" s="3" t="s">
        <v>0</v>
      </c>
      <c r="B81" s="3" t="s">
        <v>1</v>
      </c>
      <c r="C81" s="4">
        <v>346</v>
      </c>
      <c r="D81" s="4">
        <v>172</v>
      </c>
      <c r="E81" s="3">
        <v>189</v>
      </c>
      <c r="F81" s="3">
        <v>3200</v>
      </c>
      <c r="G81" s="3" t="s">
        <v>3</v>
      </c>
    </row>
    <row r="82" spans="1:7" x14ac:dyDescent="0.45">
      <c r="A82" s="3" t="s">
        <v>0</v>
      </c>
      <c r="B82" s="3" t="s">
        <v>1</v>
      </c>
      <c r="C82" s="4">
        <v>429</v>
      </c>
      <c r="D82" s="4">
        <v>176</v>
      </c>
      <c r="E82" s="3">
        <v>196</v>
      </c>
      <c r="F82" s="3">
        <v>4700</v>
      </c>
      <c r="G82" s="3" t="s">
        <v>2</v>
      </c>
    </row>
    <row r="83" spans="1:7" x14ac:dyDescent="0.45">
      <c r="A83" s="3" t="s">
        <v>0</v>
      </c>
      <c r="B83" s="3" t="s">
        <v>1</v>
      </c>
      <c r="C83" s="4">
        <v>367</v>
      </c>
      <c r="D83" s="4">
        <v>188</v>
      </c>
      <c r="E83" s="3">
        <v>187</v>
      </c>
      <c r="F83" s="3">
        <v>3800</v>
      </c>
      <c r="G83" s="3" t="s">
        <v>3</v>
      </c>
    </row>
    <row r="84" spans="1:7" x14ac:dyDescent="0.45">
      <c r="A84" s="3" t="s">
        <v>0</v>
      </c>
      <c r="B84" s="3" t="s">
        <v>1</v>
      </c>
      <c r="C84" s="4">
        <v>351</v>
      </c>
      <c r="D84" s="4">
        <v>194</v>
      </c>
      <c r="E84" s="3">
        <v>193</v>
      </c>
      <c r="F84" s="3">
        <v>4200</v>
      </c>
      <c r="G84" s="3" t="s">
        <v>2</v>
      </c>
    </row>
    <row r="85" spans="1:7" x14ac:dyDescent="0.45">
      <c r="A85" s="3" t="s">
        <v>0</v>
      </c>
      <c r="B85" s="3" t="s">
        <v>5</v>
      </c>
      <c r="C85" s="4">
        <v>373</v>
      </c>
      <c r="D85" s="4">
        <v>178</v>
      </c>
      <c r="E85" s="3">
        <v>191</v>
      </c>
      <c r="F85" s="3">
        <v>3350</v>
      </c>
      <c r="G85" s="3" t="s">
        <v>3</v>
      </c>
    </row>
    <row r="86" spans="1:7" x14ac:dyDescent="0.45">
      <c r="A86" s="3" t="s">
        <v>0</v>
      </c>
      <c r="B86" s="3" t="s">
        <v>5</v>
      </c>
      <c r="C86" s="4">
        <v>413</v>
      </c>
      <c r="D86" s="4">
        <v>203</v>
      </c>
      <c r="E86" s="3">
        <v>194</v>
      </c>
      <c r="F86" s="3">
        <v>3550</v>
      </c>
      <c r="G86" s="3" t="s">
        <v>2</v>
      </c>
    </row>
    <row r="87" spans="1:7" x14ac:dyDescent="0.45">
      <c r="A87" s="3" t="s">
        <v>0</v>
      </c>
      <c r="B87" s="3" t="s">
        <v>5</v>
      </c>
      <c r="C87" s="4">
        <v>363</v>
      </c>
      <c r="D87" s="4">
        <v>195</v>
      </c>
      <c r="E87" s="3">
        <v>190</v>
      </c>
      <c r="F87" s="3">
        <v>3800</v>
      </c>
      <c r="G87" s="3" t="s">
        <v>2</v>
      </c>
    </row>
    <row r="88" spans="1:7" x14ac:dyDescent="0.45">
      <c r="A88" s="3" t="s">
        <v>0</v>
      </c>
      <c r="B88" s="3" t="s">
        <v>5</v>
      </c>
      <c r="C88" s="4">
        <v>369</v>
      </c>
      <c r="D88" s="4">
        <v>186</v>
      </c>
      <c r="E88" s="3">
        <v>189</v>
      </c>
      <c r="F88" s="3">
        <v>3500</v>
      </c>
      <c r="G88" s="3" t="s">
        <v>3</v>
      </c>
    </row>
    <row r="89" spans="1:7" x14ac:dyDescent="0.45">
      <c r="A89" s="3" t="s">
        <v>0</v>
      </c>
      <c r="B89" s="3" t="s">
        <v>5</v>
      </c>
      <c r="C89" s="4">
        <v>383</v>
      </c>
      <c r="D89" s="4">
        <v>192</v>
      </c>
      <c r="E89" s="3">
        <v>189</v>
      </c>
      <c r="F89" s="3">
        <v>3950</v>
      </c>
      <c r="G89" s="3" t="s">
        <v>2</v>
      </c>
    </row>
    <row r="90" spans="1:7" x14ac:dyDescent="0.45">
      <c r="A90" s="3" t="s">
        <v>0</v>
      </c>
      <c r="B90" s="3" t="s">
        <v>5</v>
      </c>
      <c r="C90" s="4">
        <v>389</v>
      </c>
      <c r="D90" s="4">
        <v>188</v>
      </c>
      <c r="E90" s="3">
        <v>190</v>
      </c>
      <c r="F90" s="3">
        <v>3600</v>
      </c>
      <c r="G90" s="3" t="s">
        <v>3</v>
      </c>
    </row>
    <row r="91" spans="1:7" x14ac:dyDescent="0.45">
      <c r="A91" s="3" t="s">
        <v>0</v>
      </c>
      <c r="B91" s="3" t="s">
        <v>5</v>
      </c>
      <c r="C91" s="4">
        <v>357</v>
      </c>
      <c r="D91" s="4">
        <v>180</v>
      </c>
      <c r="E91" s="3">
        <v>202</v>
      </c>
      <c r="F91" s="3">
        <v>3550</v>
      </c>
      <c r="G91" s="3" t="s">
        <v>3</v>
      </c>
    </row>
    <row r="92" spans="1:7" x14ac:dyDescent="0.45">
      <c r="A92" s="3" t="s">
        <v>0</v>
      </c>
      <c r="B92" s="3" t="s">
        <v>5</v>
      </c>
      <c r="C92" s="4">
        <v>411</v>
      </c>
      <c r="D92" s="4">
        <v>181</v>
      </c>
      <c r="E92" s="3">
        <v>205</v>
      </c>
      <c r="F92" s="3">
        <v>4300</v>
      </c>
      <c r="G92" s="3" t="s">
        <v>2</v>
      </c>
    </row>
    <row r="93" spans="1:7" x14ac:dyDescent="0.45">
      <c r="A93" s="3" t="s">
        <v>0</v>
      </c>
      <c r="B93" s="3" t="s">
        <v>5</v>
      </c>
      <c r="C93" s="4">
        <v>340</v>
      </c>
      <c r="D93" s="4">
        <v>171</v>
      </c>
      <c r="E93" s="3">
        <v>185</v>
      </c>
      <c r="F93" s="3">
        <v>3400</v>
      </c>
      <c r="G93" s="3" t="s">
        <v>3</v>
      </c>
    </row>
    <row r="94" spans="1:7" x14ac:dyDescent="0.45">
      <c r="A94" s="3" t="s">
        <v>0</v>
      </c>
      <c r="B94" s="3" t="s">
        <v>5</v>
      </c>
      <c r="C94" s="4">
        <v>396</v>
      </c>
      <c r="D94" s="4">
        <v>181</v>
      </c>
      <c r="E94" s="3">
        <v>186</v>
      </c>
      <c r="F94" s="3">
        <v>4450</v>
      </c>
      <c r="G94" s="3" t="s">
        <v>2</v>
      </c>
    </row>
    <row r="95" spans="1:7" x14ac:dyDescent="0.45">
      <c r="A95" s="3" t="s">
        <v>0</v>
      </c>
      <c r="B95" s="3" t="s">
        <v>5</v>
      </c>
      <c r="C95" s="4">
        <v>362</v>
      </c>
      <c r="D95" s="4">
        <v>173</v>
      </c>
      <c r="E95" s="3">
        <v>187</v>
      </c>
      <c r="F95" s="3">
        <v>3300</v>
      </c>
      <c r="G95" s="3" t="s">
        <v>3</v>
      </c>
    </row>
    <row r="96" spans="1:7" x14ac:dyDescent="0.45">
      <c r="A96" s="3" t="s">
        <v>0</v>
      </c>
      <c r="B96" s="3" t="s">
        <v>5</v>
      </c>
      <c r="C96" s="4">
        <v>408</v>
      </c>
      <c r="D96" s="4">
        <v>189</v>
      </c>
      <c r="E96" s="3">
        <v>208</v>
      </c>
      <c r="F96" s="3">
        <v>4300</v>
      </c>
      <c r="G96" s="3" t="s">
        <v>2</v>
      </c>
    </row>
    <row r="97" spans="1:7" x14ac:dyDescent="0.45">
      <c r="A97" s="3" t="s">
        <v>0</v>
      </c>
      <c r="B97" s="3" t="s">
        <v>5</v>
      </c>
      <c r="C97" s="4">
        <v>381</v>
      </c>
      <c r="D97" s="4">
        <v>186</v>
      </c>
      <c r="E97" s="3">
        <v>190</v>
      </c>
      <c r="F97" s="3">
        <v>3700</v>
      </c>
      <c r="G97" s="3" t="s">
        <v>3</v>
      </c>
    </row>
    <row r="98" spans="1:7" x14ac:dyDescent="0.45">
      <c r="A98" s="3" t="s">
        <v>0</v>
      </c>
      <c r="B98" s="3" t="s">
        <v>5</v>
      </c>
      <c r="C98" s="4">
        <v>403</v>
      </c>
      <c r="D98" s="4">
        <v>185</v>
      </c>
      <c r="E98" s="3">
        <v>196</v>
      </c>
      <c r="F98" s="3">
        <v>4350</v>
      </c>
      <c r="G98" s="3" t="s">
        <v>2</v>
      </c>
    </row>
    <row r="99" spans="1:7" x14ac:dyDescent="0.45">
      <c r="A99" s="3" t="s">
        <v>0</v>
      </c>
      <c r="B99" s="3" t="s">
        <v>5</v>
      </c>
      <c r="C99" s="4">
        <v>331</v>
      </c>
      <c r="D99" s="4">
        <v>161</v>
      </c>
      <c r="E99" s="3">
        <v>178</v>
      </c>
      <c r="F99" s="3">
        <v>2900</v>
      </c>
      <c r="G99" s="3" t="s">
        <v>3</v>
      </c>
    </row>
    <row r="100" spans="1:7" x14ac:dyDescent="0.45">
      <c r="A100" s="3" t="s">
        <v>0</v>
      </c>
      <c r="B100" s="3" t="s">
        <v>5</v>
      </c>
      <c r="C100" s="4">
        <v>432</v>
      </c>
      <c r="D100" s="4">
        <v>185</v>
      </c>
      <c r="E100" s="3">
        <v>192</v>
      </c>
      <c r="F100" s="3">
        <v>4100</v>
      </c>
      <c r="G100" s="3" t="s">
        <v>2</v>
      </c>
    </row>
    <row r="101" spans="1:7" x14ac:dyDescent="0.45">
      <c r="A101" s="3" t="s">
        <v>0</v>
      </c>
      <c r="B101" s="3" t="s">
        <v>4</v>
      </c>
      <c r="C101" s="4">
        <v>350</v>
      </c>
      <c r="D101" s="4">
        <v>179</v>
      </c>
      <c r="E101" s="3">
        <v>192</v>
      </c>
      <c r="F101" s="3">
        <v>3725</v>
      </c>
      <c r="G101" s="3" t="s">
        <v>3</v>
      </c>
    </row>
    <row r="102" spans="1:7" x14ac:dyDescent="0.45">
      <c r="A102" s="3" t="s">
        <v>0</v>
      </c>
      <c r="B102" s="3" t="s">
        <v>4</v>
      </c>
      <c r="C102" s="4">
        <v>410</v>
      </c>
      <c r="D102" s="4">
        <v>200</v>
      </c>
      <c r="E102" s="3">
        <v>203</v>
      </c>
      <c r="F102" s="3">
        <v>4725</v>
      </c>
      <c r="G102" s="3" t="s">
        <v>2</v>
      </c>
    </row>
    <row r="103" spans="1:7" x14ac:dyDescent="0.45">
      <c r="A103" s="3" t="s">
        <v>0</v>
      </c>
      <c r="B103" s="3" t="s">
        <v>4</v>
      </c>
      <c r="C103" s="4">
        <v>377</v>
      </c>
      <c r="D103" s="4">
        <v>160</v>
      </c>
      <c r="E103" s="3">
        <v>183</v>
      </c>
      <c r="F103" s="3">
        <v>3075</v>
      </c>
      <c r="G103" s="3" t="s">
        <v>3</v>
      </c>
    </row>
    <row r="104" spans="1:7" x14ac:dyDescent="0.45">
      <c r="A104" s="3" t="s">
        <v>0</v>
      </c>
      <c r="B104" s="3" t="s">
        <v>4</v>
      </c>
      <c r="C104" s="4">
        <v>378</v>
      </c>
      <c r="D104" s="4">
        <v>200</v>
      </c>
      <c r="E104" s="3">
        <v>190</v>
      </c>
      <c r="F104" s="3">
        <v>4250</v>
      </c>
      <c r="G104" s="3" t="s">
        <v>2</v>
      </c>
    </row>
    <row r="105" spans="1:7" x14ac:dyDescent="0.45">
      <c r="A105" s="3" t="s">
        <v>0</v>
      </c>
      <c r="B105" s="3" t="s">
        <v>4</v>
      </c>
      <c r="C105" s="4">
        <v>379</v>
      </c>
      <c r="D105" s="4">
        <v>186</v>
      </c>
      <c r="E105" s="3">
        <v>193</v>
      </c>
      <c r="F105" s="3">
        <v>2925</v>
      </c>
      <c r="G105" s="3" t="s">
        <v>3</v>
      </c>
    </row>
    <row r="106" spans="1:7" x14ac:dyDescent="0.45">
      <c r="A106" s="3" t="s">
        <v>0</v>
      </c>
      <c r="B106" s="3" t="s">
        <v>4</v>
      </c>
      <c r="C106" s="4">
        <v>397</v>
      </c>
      <c r="D106" s="4">
        <v>189</v>
      </c>
      <c r="E106" s="3">
        <v>184</v>
      </c>
      <c r="F106" s="3">
        <v>3550</v>
      </c>
      <c r="G106" s="3" t="s">
        <v>2</v>
      </c>
    </row>
    <row r="107" spans="1:7" x14ac:dyDescent="0.45">
      <c r="A107" s="3" t="s">
        <v>0</v>
      </c>
      <c r="B107" s="3" t="s">
        <v>4</v>
      </c>
      <c r="C107" s="4">
        <v>386</v>
      </c>
      <c r="D107" s="4">
        <v>172</v>
      </c>
      <c r="E107" s="3">
        <v>199</v>
      </c>
      <c r="F107" s="3">
        <v>3750</v>
      </c>
      <c r="G107" s="3" t="s">
        <v>3</v>
      </c>
    </row>
    <row r="108" spans="1:7" x14ac:dyDescent="0.45">
      <c r="A108" s="3" t="s">
        <v>0</v>
      </c>
      <c r="B108" s="3" t="s">
        <v>4</v>
      </c>
      <c r="C108" s="4">
        <v>382</v>
      </c>
      <c r="D108" s="4">
        <v>200</v>
      </c>
      <c r="E108" s="3">
        <v>190</v>
      </c>
      <c r="F108" s="3">
        <v>3900</v>
      </c>
      <c r="G108" s="3" t="s">
        <v>2</v>
      </c>
    </row>
    <row r="109" spans="1:7" x14ac:dyDescent="0.45">
      <c r="A109" s="3" t="s">
        <v>0</v>
      </c>
      <c r="B109" s="3" t="s">
        <v>4</v>
      </c>
      <c r="C109" s="4">
        <v>381</v>
      </c>
      <c r="D109" s="4">
        <v>170</v>
      </c>
      <c r="E109" s="3">
        <v>181</v>
      </c>
      <c r="F109" s="3">
        <v>3175</v>
      </c>
      <c r="G109" s="3" t="s">
        <v>3</v>
      </c>
    </row>
    <row r="110" spans="1:7" x14ac:dyDescent="0.45">
      <c r="A110" s="3" t="s">
        <v>0</v>
      </c>
      <c r="B110" s="3" t="s">
        <v>4</v>
      </c>
      <c r="C110" s="4">
        <v>432</v>
      </c>
      <c r="D110" s="4">
        <v>190</v>
      </c>
      <c r="E110" s="3">
        <v>197</v>
      </c>
      <c r="F110" s="3">
        <v>4775</v>
      </c>
      <c r="G110" s="3" t="s">
        <v>2</v>
      </c>
    </row>
    <row r="111" spans="1:7" x14ac:dyDescent="0.45">
      <c r="A111" s="3" t="s">
        <v>0</v>
      </c>
      <c r="B111" s="3" t="s">
        <v>4</v>
      </c>
      <c r="C111" s="4">
        <v>381</v>
      </c>
      <c r="D111" s="4">
        <v>165</v>
      </c>
      <c r="E111" s="3">
        <v>198</v>
      </c>
      <c r="F111" s="3">
        <v>3825</v>
      </c>
      <c r="G111" s="3" t="s">
        <v>3</v>
      </c>
    </row>
    <row r="112" spans="1:7" x14ac:dyDescent="0.45">
      <c r="A112" s="3" t="s">
        <v>0</v>
      </c>
      <c r="B112" s="3" t="s">
        <v>4</v>
      </c>
      <c r="C112" s="4">
        <v>456</v>
      </c>
      <c r="D112" s="4">
        <v>203</v>
      </c>
      <c r="E112" s="3">
        <v>191</v>
      </c>
      <c r="F112" s="3">
        <v>4600</v>
      </c>
      <c r="G112" s="3" t="s">
        <v>2</v>
      </c>
    </row>
    <row r="113" spans="1:7" x14ac:dyDescent="0.45">
      <c r="A113" s="3" t="s">
        <v>0</v>
      </c>
      <c r="B113" s="3" t="s">
        <v>4</v>
      </c>
      <c r="C113" s="4">
        <v>397</v>
      </c>
      <c r="D113" s="4">
        <v>177</v>
      </c>
      <c r="E113" s="3">
        <v>193</v>
      </c>
      <c r="F113" s="3">
        <v>3200</v>
      </c>
      <c r="G113" s="3" t="s">
        <v>3</v>
      </c>
    </row>
    <row r="114" spans="1:7" x14ac:dyDescent="0.45">
      <c r="A114" s="3" t="s">
        <v>0</v>
      </c>
      <c r="B114" s="3" t="s">
        <v>4</v>
      </c>
      <c r="C114" s="4">
        <v>422</v>
      </c>
      <c r="D114" s="4">
        <v>195</v>
      </c>
      <c r="E114" s="3">
        <v>197</v>
      </c>
      <c r="F114" s="3">
        <v>4275</v>
      </c>
      <c r="G114" s="3" t="s">
        <v>2</v>
      </c>
    </row>
    <row r="115" spans="1:7" x14ac:dyDescent="0.45">
      <c r="A115" s="3" t="s">
        <v>0</v>
      </c>
      <c r="B115" s="3" t="s">
        <v>4</v>
      </c>
      <c r="C115" s="4">
        <v>396</v>
      </c>
      <c r="D115" s="4">
        <v>207</v>
      </c>
      <c r="E115" s="3">
        <v>191</v>
      </c>
      <c r="F115" s="3">
        <v>3900</v>
      </c>
      <c r="G115" s="3" t="s">
        <v>3</v>
      </c>
    </row>
    <row r="116" spans="1:7" x14ac:dyDescent="0.45">
      <c r="A116" s="3" t="s">
        <v>0</v>
      </c>
      <c r="B116" s="3" t="s">
        <v>4</v>
      </c>
      <c r="C116" s="4">
        <v>427</v>
      </c>
      <c r="D116" s="4">
        <v>183</v>
      </c>
      <c r="E116" s="3">
        <v>196</v>
      </c>
      <c r="F116" s="3">
        <v>4075</v>
      </c>
      <c r="G116" s="3" t="s">
        <v>2</v>
      </c>
    </row>
    <row r="117" spans="1:7" x14ac:dyDescent="0.45">
      <c r="A117" s="3" t="s">
        <v>0</v>
      </c>
      <c r="B117" s="3" t="s">
        <v>1</v>
      </c>
      <c r="C117" s="4">
        <v>386</v>
      </c>
      <c r="D117" s="4">
        <v>170</v>
      </c>
      <c r="E117" s="3">
        <v>188</v>
      </c>
      <c r="F117" s="3">
        <v>2900</v>
      </c>
      <c r="G117" s="3" t="s">
        <v>3</v>
      </c>
    </row>
    <row r="118" spans="1:7" x14ac:dyDescent="0.45">
      <c r="A118" s="3" t="s">
        <v>0</v>
      </c>
      <c r="B118" s="3" t="s">
        <v>1</v>
      </c>
      <c r="C118" s="4">
        <v>373</v>
      </c>
      <c r="D118" s="4">
        <v>205</v>
      </c>
      <c r="E118" s="3">
        <v>199</v>
      </c>
      <c r="F118" s="3">
        <v>3775</v>
      </c>
      <c r="G118" s="3" t="s">
        <v>2</v>
      </c>
    </row>
    <row r="119" spans="1:7" x14ac:dyDescent="0.45">
      <c r="A119" s="3" t="s">
        <v>0</v>
      </c>
      <c r="B119" s="3" t="s">
        <v>1</v>
      </c>
      <c r="C119" s="4">
        <v>357</v>
      </c>
      <c r="D119" s="4">
        <v>170</v>
      </c>
      <c r="E119" s="3">
        <v>189</v>
      </c>
      <c r="F119" s="3">
        <v>3350</v>
      </c>
      <c r="G119" s="3" t="s">
        <v>3</v>
      </c>
    </row>
    <row r="120" spans="1:7" x14ac:dyDescent="0.45">
      <c r="A120" s="3" t="s">
        <v>0</v>
      </c>
      <c r="B120" s="3" t="s">
        <v>1</v>
      </c>
      <c r="C120" s="4">
        <v>411</v>
      </c>
      <c r="D120" s="4">
        <v>186</v>
      </c>
      <c r="E120" s="3">
        <v>189</v>
      </c>
      <c r="F120" s="3">
        <v>3325</v>
      </c>
      <c r="G120" s="3" t="s">
        <v>2</v>
      </c>
    </row>
    <row r="121" spans="1:7" x14ac:dyDescent="0.45">
      <c r="A121" s="3" t="s">
        <v>0</v>
      </c>
      <c r="B121" s="3" t="s">
        <v>1</v>
      </c>
      <c r="C121" s="4">
        <v>362</v>
      </c>
      <c r="D121" s="4">
        <v>172</v>
      </c>
      <c r="E121" s="3">
        <v>187</v>
      </c>
      <c r="F121" s="3">
        <v>3150</v>
      </c>
      <c r="G121" s="3" t="s">
        <v>3</v>
      </c>
    </row>
    <row r="122" spans="1:7" x14ac:dyDescent="0.45">
      <c r="A122" s="3" t="s">
        <v>0</v>
      </c>
      <c r="B122" s="3" t="s">
        <v>1</v>
      </c>
      <c r="C122" s="4">
        <v>377</v>
      </c>
      <c r="D122" s="4">
        <v>198</v>
      </c>
      <c r="E122" s="3">
        <v>198</v>
      </c>
      <c r="F122" s="3">
        <v>3500</v>
      </c>
      <c r="G122" s="3" t="s">
        <v>2</v>
      </c>
    </row>
    <row r="123" spans="1:7" x14ac:dyDescent="0.45">
      <c r="A123" s="3" t="s">
        <v>0</v>
      </c>
      <c r="B123" s="3" t="s">
        <v>1</v>
      </c>
      <c r="C123" s="4">
        <v>402</v>
      </c>
      <c r="D123" s="4">
        <v>170</v>
      </c>
      <c r="E123" s="3">
        <v>176</v>
      </c>
      <c r="F123" s="3">
        <v>3450</v>
      </c>
      <c r="G123" s="3" t="s">
        <v>3</v>
      </c>
    </row>
    <row r="124" spans="1:7" x14ac:dyDescent="0.45">
      <c r="A124" s="3" t="s">
        <v>0</v>
      </c>
      <c r="B124" s="3" t="s">
        <v>1</v>
      </c>
      <c r="C124" s="4">
        <v>414</v>
      </c>
      <c r="D124" s="4">
        <v>185</v>
      </c>
      <c r="E124" s="3">
        <v>202</v>
      </c>
      <c r="F124" s="3">
        <v>3875</v>
      </c>
      <c r="G124" s="3" t="s">
        <v>2</v>
      </c>
    </row>
    <row r="125" spans="1:7" x14ac:dyDescent="0.45">
      <c r="A125" s="3" t="s">
        <v>0</v>
      </c>
      <c r="B125" s="3" t="s">
        <v>1</v>
      </c>
      <c r="C125" s="4">
        <v>352</v>
      </c>
      <c r="D125" s="4">
        <v>159</v>
      </c>
      <c r="E125" s="3">
        <v>186</v>
      </c>
      <c r="F125" s="3">
        <v>3050</v>
      </c>
      <c r="G125" s="3" t="s">
        <v>3</v>
      </c>
    </row>
    <row r="126" spans="1:7" x14ac:dyDescent="0.45">
      <c r="A126" s="3" t="s">
        <v>0</v>
      </c>
      <c r="B126" s="3" t="s">
        <v>1</v>
      </c>
      <c r="C126" s="4">
        <v>406</v>
      </c>
      <c r="D126" s="4">
        <v>190</v>
      </c>
      <c r="E126" s="3">
        <v>199</v>
      </c>
      <c r="F126" s="3">
        <v>4000</v>
      </c>
      <c r="G126" s="3" t="s">
        <v>2</v>
      </c>
    </row>
    <row r="127" spans="1:7" x14ac:dyDescent="0.45">
      <c r="A127" s="3" t="s">
        <v>0</v>
      </c>
      <c r="B127" s="3" t="s">
        <v>1</v>
      </c>
      <c r="C127" s="4">
        <v>388</v>
      </c>
      <c r="D127" s="4">
        <v>176</v>
      </c>
      <c r="E127" s="3">
        <v>191</v>
      </c>
      <c r="F127" s="3">
        <v>3275</v>
      </c>
      <c r="G127" s="3" t="s">
        <v>3</v>
      </c>
    </row>
    <row r="128" spans="1:7" x14ac:dyDescent="0.45">
      <c r="A128" s="3" t="s">
        <v>0</v>
      </c>
      <c r="B128" s="3" t="s">
        <v>1</v>
      </c>
      <c r="C128" s="4">
        <v>415</v>
      </c>
      <c r="D128" s="4">
        <v>183</v>
      </c>
      <c r="E128" s="3">
        <v>195</v>
      </c>
      <c r="F128" s="3">
        <v>4300</v>
      </c>
      <c r="G128" s="3" t="s">
        <v>2</v>
      </c>
    </row>
    <row r="129" spans="1:7" x14ac:dyDescent="0.45">
      <c r="A129" s="3" t="s">
        <v>0</v>
      </c>
      <c r="B129" s="3" t="s">
        <v>1</v>
      </c>
      <c r="C129" s="4">
        <v>390</v>
      </c>
      <c r="D129" s="4">
        <v>171</v>
      </c>
      <c r="E129" s="3">
        <v>191</v>
      </c>
      <c r="F129" s="3">
        <v>3050</v>
      </c>
      <c r="G129" s="3" t="s">
        <v>3</v>
      </c>
    </row>
    <row r="130" spans="1:7" x14ac:dyDescent="0.45">
      <c r="A130" s="3" t="s">
        <v>0</v>
      </c>
      <c r="B130" s="3" t="s">
        <v>1</v>
      </c>
      <c r="C130" s="4">
        <v>441</v>
      </c>
      <c r="D130" s="4">
        <v>180</v>
      </c>
      <c r="E130" s="3">
        <v>210</v>
      </c>
      <c r="F130" s="3">
        <v>4000</v>
      </c>
      <c r="G130" s="3" t="s">
        <v>2</v>
      </c>
    </row>
    <row r="131" spans="1:7" x14ac:dyDescent="0.45">
      <c r="A131" s="3" t="s">
        <v>0</v>
      </c>
      <c r="B131" s="3" t="s">
        <v>1</v>
      </c>
      <c r="C131" s="4">
        <v>385</v>
      </c>
      <c r="D131" s="4">
        <v>179</v>
      </c>
      <c r="E131" s="3">
        <v>190</v>
      </c>
      <c r="F131" s="3">
        <v>3325</v>
      </c>
      <c r="G131" s="3" t="s">
        <v>3</v>
      </c>
    </row>
    <row r="132" spans="1:7" x14ac:dyDescent="0.45">
      <c r="A132" s="3" t="s">
        <v>0</v>
      </c>
      <c r="B132" s="3" t="s">
        <v>1</v>
      </c>
      <c r="C132" s="4">
        <v>431</v>
      </c>
      <c r="D132" s="4">
        <v>192</v>
      </c>
      <c r="E132" s="3">
        <v>197</v>
      </c>
      <c r="F132" s="3">
        <v>3500</v>
      </c>
      <c r="G132" s="3" t="s">
        <v>2</v>
      </c>
    </row>
    <row r="133" spans="1:7" x14ac:dyDescent="0.45">
      <c r="A133" s="3" t="s">
        <v>0</v>
      </c>
      <c r="B133" s="3" t="s">
        <v>5</v>
      </c>
      <c r="C133" s="4">
        <v>368</v>
      </c>
      <c r="D133" s="4">
        <v>185</v>
      </c>
      <c r="E133" s="3">
        <v>193</v>
      </c>
      <c r="F133" s="3">
        <v>3500</v>
      </c>
      <c r="G133" s="3" t="s">
        <v>3</v>
      </c>
    </row>
    <row r="134" spans="1:7" x14ac:dyDescent="0.45">
      <c r="A134" s="3" t="s">
        <v>0</v>
      </c>
      <c r="B134" s="3" t="s">
        <v>5</v>
      </c>
      <c r="C134" s="4">
        <v>375</v>
      </c>
      <c r="D134" s="4">
        <v>185</v>
      </c>
      <c r="E134" s="3">
        <v>199</v>
      </c>
      <c r="F134" s="3">
        <v>4475</v>
      </c>
      <c r="G134" s="3" t="s">
        <v>2</v>
      </c>
    </row>
    <row r="135" spans="1:7" x14ac:dyDescent="0.45">
      <c r="A135" s="3" t="s">
        <v>0</v>
      </c>
      <c r="B135" s="3" t="s">
        <v>5</v>
      </c>
      <c r="C135" s="4">
        <v>381</v>
      </c>
      <c r="D135" s="4">
        <v>176</v>
      </c>
      <c r="E135" s="3">
        <v>187</v>
      </c>
      <c r="F135" s="3">
        <v>3425</v>
      </c>
      <c r="G135" s="3" t="s">
        <v>3</v>
      </c>
    </row>
    <row r="136" spans="1:7" x14ac:dyDescent="0.45">
      <c r="A136" s="3" t="s">
        <v>0</v>
      </c>
      <c r="B136" s="3" t="s">
        <v>5</v>
      </c>
      <c r="C136" s="4">
        <v>411</v>
      </c>
      <c r="D136" s="4">
        <v>175</v>
      </c>
      <c r="E136" s="3">
        <v>190</v>
      </c>
      <c r="F136" s="3">
        <v>3900</v>
      </c>
      <c r="G136" s="3" t="s">
        <v>2</v>
      </c>
    </row>
    <row r="137" spans="1:7" x14ac:dyDescent="0.45">
      <c r="A137" s="3" t="s">
        <v>0</v>
      </c>
      <c r="B137" s="3" t="s">
        <v>5</v>
      </c>
      <c r="C137" s="4">
        <v>356</v>
      </c>
      <c r="D137" s="4">
        <v>175</v>
      </c>
      <c r="E137" s="3">
        <v>191</v>
      </c>
      <c r="F137" s="3">
        <v>3175</v>
      </c>
      <c r="G137" s="3" t="s">
        <v>3</v>
      </c>
    </row>
    <row r="138" spans="1:7" x14ac:dyDescent="0.45">
      <c r="A138" s="3" t="s">
        <v>0</v>
      </c>
      <c r="B138" s="3" t="s">
        <v>5</v>
      </c>
      <c r="C138" s="4">
        <v>402</v>
      </c>
      <c r="D138" s="4">
        <v>201</v>
      </c>
      <c r="E138" s="3">
        <v>200</v>
      </c>
      <c r="F138" s="3">
        <v>3975</v>
      </c>
      <c r="G138" s="3" t="s">
        <v>2</v>
      </c>
    </row>
    <row r="139" spans="1:7" x14ac:dyDescent="0.45">
      <c r="A139" s="3" t="s">
        <v>0</v>
      </c>
      <c r="B139" s="3" t="s">
        <v>5</v>
      </c>
      <c r="C139" s="4">
        <v>370</v>
      </c>
      <c r="D139" s="4">
        <v>165</v>
      </c>
      <c r="E139" s="3">
        <v>185</v>
      </c>
      <c r="F139" s="3">
        <v>3400</v>
      </c>
      <c r="G139" s="3" t="s">
        <v>3</v>
      </c>
    </row>
    <row r="140" spans="1:7" x14ac:dyDescent="0.45">
      <c r="A140" s="3" t="s">
        <v>0</v>
      </c>
      <c r="B140" s="3" t="s">
        <v>5</v>
      </c>
      <c r="C140" s="4">
        <v>397</v>
      </c>
      <c r="D140" s="4">
        <v>179</v>
      </c>
      <c r="E140" s="3">
        <v>193</v>
      </c>
      <c r="F140" s="3">
        <v>4250</v>
      </c>
      <c r="G140" s="3" t="s">
        <v>2</v>
      </c>
    </row>
    <row r="141" spans="1:7" x14ac:dyDescent="0.45">
      <c r="A141" s="3" t="s">
        <v>0</v>
      </c>
      <c r="B141" s="3" t="s">
        <v>5</v>
      </c>
      <c r="C141" s="4">
        <v>402</v>
      </c>
      <c r="D141" s="4">
        <v>171</v>
      </c>
      <c r="E141" s="3">
        <v>193</v>
      </c>
      <c r="F141" s="3">
        <v>3400</v>
      </c>
      <c r="G141" s="3" t="s">
        <v>3</v>
      </c>
    </row>
    <row r="142" spans="1:7" x14ac:dyDescent="0.45">
      <c r="A142" s="3" t="s">
        <v>0</v>
      </c>
      <c r="B142" s="3" t="s">
        <v>5</v>
      </c>
      <c r="C142" s="4">
        <v>406</v>
      </c>
      <c r="D142" s="4">
        <v>172</v>
      </c>
      <c r="E142" s="3">
        <v>187</v>
      </c>
      <c r="F142" s="3">
        <v>3475</v>
      </c>
      <c r="G142" s="3" t="s">
        <v>2</v>
      </c>
    </row>
    <row r="143" spans="1:7" x14ac:dyDescent="0.45">
      <c r="A143" s="3" t="s">
        <v>0</v>
      </c>
      <c r="B143" s="3" t="s">
        <v>5</v>
      </c>
      <c r="C143" s="4">
        <v>321</v>
      </c>
      <c r="D143" s="4">
        <v>155</v>
      </c>
      <c r="E143" s="3">
        <v>188</v>
      </c>
      <c r="F143" s="3">
        <v>3050</v>
      </c>
      <c r="G143" s="3" t="s">
        <v>3</v>
      </c>
    </row>
    <row r="144" spans="1:7" x14ac:dyDescent="0.45">
      <c r="A144" s="3" t="s">
        <v>0</v>
      </c>
      <c r="B144" s="3" t="s">
        <v>5</v>
      </c>
      <c r="C144" s="4">
        <v>407</v>
      </c>
      <c r="D144" s="4">
        <v>170</v>
      </c>
      <c r="E144" s="3">
        <v>190</v>
      </c>
      <c r="F144" s="3">
        <v>3725</v>
      </c>
      <c r="G144" s="3" t="s">
        <v>2</v>
      </c>
    </row>
    <row r="145" spans="1:7" x14ac:dyDescent="0.45">
      <c r="A145" s="3" t="s">
        <v>0</v>
      </c>
      <c r="B145" s="3" t="s">
        <v>5</v>
      </c>
      <c r="C145" s="4">
        <v>373</v>
      </c>
      <c r="D145" s="4">
        <v>168</v>
      </c>
      <c r="E145" s="3">
        <v>192</v>
      </c>
      <c r="F145" s="3">
        <v>3000</v>
      </c>
      <c r="G145" s="3" t="s">
        <v>3</v>
      </c>
    </row>
    <row r="146" spans="1:7" x14ac:dyDescent="0.45">
      <c r="A146" s="3" t="s">
        <v>0</v>
      </c>
      <c r="B146" s="3" t="s">
        <v>5</v>
      </c>
      <c r="C146" s="4">
        <v>390</v>
      </c>
      <c r="D146" s="4">
        <v>187</v>
      </c>
      <c r="E146" s="3">
        <v>185</v>
      </c>
      <c r="F146" s="3">
        <v>3650</v>
      </c>
      <c r="G146" s="3" t="s">
        <v>2</v>
      </c>
    </row>
    <row r="147" spans="1:7" x14ac:dyDescent="0.45">
      <c r="A147" s="3" t="s">
        <v>0</v>
      </c>
      <c r="B147" s="3" t="s">
        <v>5</v>
      </c>
      <c r="C147" s="4">
        <v>392</v>
      </c>
      <c r="D147" s="4">
        <v>186</v>
      </c>
      <c r="E147" s="3">
        <v>190</v>
      </c>
      <c r="F147" s="3">
        <v>4250</v>
      </c>
      <c r="G147" s="3" t="s">
        <v>2</v>
      </c>
    </row>
    <row r="148" spans="1:7" x14ac:dyDescent="0.45">
      <c r="A148" s="3" t="s">
        <v>0</v>
      </c>
      <c r="B148" s="3" t="s">
        <v>5</v>
      </c>
      <c r="C148" s="4">
        <v>366</v>
      </c>
      <c r="D148" s="4">
        <v>184</v>
      </c>
      <c r="E148" s="3">
        <v>184</v>
      </c>
      <c r="F148" s="3">
        <v>3475</v>
      </c>
      <c r="G148" s="3" t="s">
        <v>3</v>
      </c>
    </row>
    <row r="149" spans="1:7" x14ac:dyDescent="0.45">
      <c r="A149" s="3" t="s">
        <v>0</v>
      </c>
      <c r="B149" s="3" t="s">
        <v>5</v>
      </c>
      <c r="C149" s="4">
        <v>360</v>
      </c>
      <c r="D149" s="4">
        <v>178</v>
      </c>
      <c r="E149" s="3">
        <v>195</v>
      </c>
      <c r="F149" s="3">
        <v>3450</v>
      </c>
      <c r="G149" s="3" t="s">
        <v>3</v>
      </c>
    </row>
    <row r="150" spans="1:7" x14ac:dyDescent="0.45">
      <c r="A150" s="3" t="s">
        <v>0</v>
      </c>
      <c r="B150" s="3" t="s">
        <v>5</v>
      </c>
      <c r="C150" s="4">
        <v>378</v>
      </c>
      <c r="D150" s="4">
        <v>181</v>
      </c>
      <c r="E150" s="3">
        <v>193</v>
      </c>
      <c r="F150" s="3">
        <v>3750</v>
      </c>
      <c r="G150" s="3" t="s">
        <v>2</v>
      </c>
    </row>
    <row r="151" spans="1:7" x14ac:dyDescent="0.45">
      <c r="A151" s="3" t="s">
        <v>0</v>
      </c>
      <c r="B151" s="3" t="s">
        <v>5</v>
      </c>
      <c r="C151" s="4">
        <v>360</v>
      </c>
      <c r="D151" s="4">
        <v>171</v>
      </c>
      <c r="E151" s="3">
        <v>187</v>
      </c>
      <c r="F151" s="3">
        <v>3700</v>
      </c>
      <c r="G151" s="3" t="s">
        <v>3</v>
      </c>
    </row>
    <row r="152" spans="1:7" x14ac:dyDescent="0.45">
      <c r="A152" s="3" t="s">
        <v>0</v>
      </c>
      <c r="B152" s="3" t="s">
        <v>5</v>
      </c>
      <c r="C152" s="4">
        <v>415</v>
      </c>
      <c r="D152" s="4">
        <v>185</v>
      </c>
      <c r="E152" s="3">
        <v>201</v>
      </c>
      <c r="F152" s="3">
        <v>4000</v>
      </c>
      <c r="G152" s="3" t="s">
        <v>2</v>
      </c>
    </row>
    <row r="153" spans="1:7" x14ac:dyDescent="0.45">
      <c r="A153" s="3" t="s">
        <v>6</v>
      </c>
      <c r="B153" s="3" t="s">
        <v>5</v>
      </c>
      <c r="C153" s="4">
        <v>465</v>
      </c>
      <c r="D153" s="4">
        <v>179</v>
      </c>
      <c r="E153" s="3">
        <v>192</v>
      </c>
      <c r="F153" s="3">
        <v>3500</v>
      </c>
      <c r="G153" s="3" t="s">
        <v>3</v>
      </c>
    </row>
    <row r="154" spans="1:7" x14ac:dyDescent="0.45">
      <c r="A154" s="3" t="s">
        <v>6</v>
      </c>
      <c r="B154" s="3" t="s">
        <v>5</v>
      </c>
      <c r="C154" s="4">
        <v>500</v>
      </c>
      <c r="D154" s="4">
        <v>195</v>
      </c>
      <c r="E154" s="3">
        <v>196</v>
      </c>
      <c r="F154" s="3">
        <v>3900</v>
      </c>
      <c r="G154" s="3" t="s">
        <v>2</v>
      </c>
    </row>
    <row r="155" spans="1:7" x14ac:dyDescent="0.45">
      <c r="A155" s="3" t="s">
        <v>6</v>
      </c>
      <c r="B155" s="3" t="s">
        <v>5</v>
      </c>
      <c r="C155" s="4">
        <v>513</v>
      </c>
      <c r="D155" s="4">
        <v>192</v>
      </c>
      <c r="E155" s="3">
        <v>193</v>
      </c>
      <c r="F155" s="3">
        <v>3650</v>
      </c>
      <c r="G155" s="3" t="s">
        <v>2</v>
      </c>
    </row>
    <row r="156" spans="1:7" x14ac:dyDescent="0.45">
      <c r="A156" s="3" t="s">
        <v>6</v>
      </c>
      <c r="B156" s="3" t="s">
        <v>5</v>
      </c>
      <c r="C156" s="4">
        <v>454</v>
      </c>
      <c r="D156" s="4">
        <v>187</v>
      </c>
      <c r="E156" s="3">
        <v>188</v>
      </c>
      <c r="F156" s="3">
        <v>3525</v>
      </c>
      <c r="G156" s="3" t="s">
        <v>3</v>
      </c>
    </row>
    <row r="157" spans="1:7" x14ac:dyDescent="0.45">
      <c r="A157" s="3" t="s">
        <v>6</v>
      </c>
      <c r="B157" s="3" t="s">
        <v>5</v>
      </c>
      <c r="C157" s="4">
        <v>527</v>
      </c>
      <c r="D157" s="4">
        <v>198</v>
      </c>
      <c r="E157" s="3">
        <v>197</v>
      </c>
      <c r="F157" s="3">
        <v>3725</v>
      </c>
      <c r="G157" s="3" t="s">
        <v>2</v>
      </c>
    </row>
    <row r="158" spans="1:7" x14ac:dyDescent="0.45">
      <c r="A158" s="3" t="s">
        <v>6</v>
      </c>
      <c r="B158" s="3" t="s">
        <v>5</v>
      </c>
      <c r="C158" s="4">
        <v>452</v>
      </c>
      <c r="D158" s="4">
        <v>178</v>
      </c>
      <c r="E158" s="3">
        <v>198</v>
      </c>
      <c r="F158" s="3">
        <v>3950</v>
      </c>
      <c r="G158" s="3" t="s">
        <v>3</v>
      </c>
    </row>
    <row r="159" spans="1:7" x14ac:dyDescent="0.45">
      <c r="A159" s="3" t="s">
        <v>6</v>
      </c>
      <c r="B159" s="3" t="s">
        <v>5</v>
      </c>
      <c r="C159" s="4">
        <v>461</v>
      </c>
      <c r="D159" s="4">
        <v>182</v>
      </c>
      <c r="E159" s="3">
        <v>178</v>
      </c>
      <c r="F159" s="3">
        <v>3250</v>
      </c>
      <c r="G159" s="3" t="s">
        <v>3</v>
      </c>
    </row>
    <row r="160" spans="1:7" x14ac:dyDescent="0.45">
      <c r="A160" s="3" t="s">
        <v>6</v>
      </c>
      <c r="B160" s="3" t="s">
        <v>5</v>
      </c>
      <c r="C160" s="4">
        <v>513</v>
      </c>
      <c r="D160" s="4">
        <v>182</v>
      </c>
      <c r="E160" s="3">
        <v>197</v>
      </c>
      <c r="F160" s="3">
        <v>3750</v>
      </c>
      <c r="G160" s="3" t="s">
        <v>2</v>
      </c>
    </row>
    <row r="161" spans="1:7" x14ac:dyDescent="0.45">
      <c r="A161" s="3" t="s">
        <v>6</v>
      </c>
      <c r="B161" s="3" t="s">
        <v>5</v>
      </c>
      <c r="C161" s="4">
        <v>460</v>
      </c>
      <c r="D161" s="4">
        <v>189</v>
      </c>
      <c r="E161" s="3">
        <v>195</v>
      </c>
      <c r="F161" s="3">
        <v>4150</v>
      </c>
      <c r="G161" s="3" t="s">
        <v>3</v>
      </c>
    </row>
    <row r="162" spans="1:7" x14ac:dyDescent="0.45">
      <c r="A162" s="3" t="s">
        <v>6</v>
      </c>
      <c r="B162" s="3" t="s">
        <v>5</v>
      </c>
      <c r="C162" s="4">
        <v>513</v>
      </c>
      <c r="D162" s="4">
        <v>199</v>
      </c>
      <c r="E162" s="3">
        <v>198</v>
      </c>
      <c r="F162" s="3">
        <v>3700</v>
      </c>
      <c r="G162" s="3" t="s">
        <v>2</v>
      </c>
    </row>
    <row r="163" spans="1:7" x14ac:dyDescent="0.45">
      <c r="A163" s="3" t="s">
        <v>6</v>
      </c>
      <c r="B163" s="3" t="s">
        <v>5</v>
      </c>
      <c r="C163" s="4">
        <v>466</v>
      </c>
      <c r="D163" s="4">
        <v>178</v>
      </c>
      <c r="E163" s="3">
        <v>193</v>
      </c>
      <c r="F163" s="3">
        <v>3800</v>
      </c>
      <c r="G163" s="3" t="s">
        <v>3</v>
      </c>
    </row>
    <row r="164" spans="1:7" x14ac:dyDescent="0.45">
      <c r="A164" s="3" t="s">
        <v>6</v>
      </c>
      <c r="B164" s="3" t="s">
        <v>5</v>
      </c>
      <c r="C164" s="4">
        <v>517</v>
      </c>
      <c r="D164" s="4">
        <v>203</v>
      </c>
      <c r="E164" s="3">
        <v>194</v>
      </c>
      <c r="F164" s="3">
        <v>3775</v>
      </c>
      <c r="G164" s="3" t="s">
        <v>2</v>
      </c>
    </row>
    <row r="165" spans="1:7" x14ac:dyDescent="0.45">
      <c r="A165" s="3" t="s">
        <v>6</v>
      </c>
      <c r="B165" s="3" t="s">
        <v>5</v>
      </c>
      <c r="C165" s="4">
        <v>470</v>
      </c>
      <c r="D165" s="4">
        <v>173</v>
      </c>
      <c r="E165" s="3">
        <v>185</v>
      </c>
      <c r="F165" s="3">
        <v>3700</v>
      </c>
      <c r="G165" s="3" t="s">
        <v>3</v>
      </c>
    </row>
    <row r="166" spans="1:7" x14ac:dyDescent="0.45">
      <c r="A166" s="3" t="s">
        <v>6</v>
      </c>
      <c r="B166" s="3" t="s">
        <v>5</v>
      </c>
      <c r="C166" s="4">
        <v>520</v>
      </c>
      <c r="D166" s="4">
        <v>181</v>
      </c>
      <c r="E166" s="3">
        <v>201</v>
      </c>
      <c r="F166" s="3">
        <v>4050</v>
      </c>
      <c r="G166" s="3" t="s">
        <v>2</v>
      </c>
    </row>
    <row r="167" spans="1:7" x14ac:dyDescent="0.45">
      <c r="A167" s="3" t="s">
        <v>6</v>
      </c>
      <c r="B167" s="3" t="s">
        <v>5</v>
      </c>
      <c r="C167" s="4">
        <v>459</v>
      </c>
      <c r="D167" s="4">
        <v>171</v>
      </c>
      <c r="E167" s="3">
        <v>190</v>
      </c>
      <c r="F167" s="3">
        <v>3575</v>
      </c>
      <c r="G167" s="3" t="s">
        <v>3</v>
      </c>
    </row>
    <row r="168" spans="1:7" x14ac:dyDescent="0.45">
      <c r="A168" s="3" t="s">
        <v>6</v>
      </c>
      <c r="B168" s="3" t="s">
        <v>5</v>
      </c>
      <c r="C168" s="4">
        <v>505</v>
      </c>
      <c r="D168" s="4">
        <v>196</v>
      </c>
      <c r="E168" s="3">
        <v>201</v>
      </c>
      <c r="F168" s="3">
        <v>4050</v>
      </c>
      <c r="G168" s="3" t="s">
        <v>2</v>
      </c>
    </row>
    <row r="169" spans="1:7" x14ac:dyDescent="0.45">
      <c r="A169" s="3" t="s">
        <v>6</v>
      </c>
      <c r="B169" s="3" t="s">
        <v>5</v>
      </c>
      <c r="C169" s="4">
        <v>503</v>
      </c>
      <c r="D169" s="4">
        <v>200</v>
      </c>
      <c r="E169" s="3">
        <v>197</v>
      </c>
      <c r="F169" s="3">
        <v>3300</v>
      </c>
      <c r="G169" s="3" t="s">
        <v>2</v>
      </c>
    </row>
    <row r="170" spans="1:7" x14ac:dyDescent="0.45">
      <c r="A170" s="3" t="s">
        <v>6</v>
      </c>
      <c r="B170" s="3" t="s">
        <v>5</v>
      </c>
      <c r="C170" s="4">
        <v>580</v>
      </c>
      <c r="D170" s="4">
        <v>178</v>
      </c>
      <c r="E170" s="3">
        <v>181</v>
      </c>
      <c r="F170" s="3">
        <v>3700</v>
      </c>
      <c r="G170" s="3" t="s">
        <v>3</v>
      </c>
    </row>
    <row r="171" spans="1:7" x14ac:dyDescent="0.45">
      <c r="A171" s="3" t="s">
        <v>6</v>
      </c>
      <c r="B171" s="3" t="s">
        <v>5</v>
      </c>
      <c r="C171" s="4">
        <v>464</v>
      </c>
      <c r="D171" s="4">
        <v>186</v>
      </c>
      <c r="E171" s="3">
        <v>190</v>
      </c>
      <c r="F171" s="3">
        <v>3450</v>
      </c>
      <c r="G171" s="3" t="s">
        <v>3</v>
      </c>
    </row>
    <row r="172" spans="1:7" x14ac:dyDescent="0.45">
      <c r="A172" s="3" t="s">
        <v>6</v>
      </c>
      <c r="B172" s="3" t="s">
        <v>5</v>
      </c>
      <c r="C172" s="4">
        <v>492</v>
      </c>
      <c r="D172" s="4">
        <v>182</v>
      </c>
      <c r="E172" s="3">
        <v>195</v>
      </c>
      <c r="F172" s="3">
        <v>4400</v>
      </c>
      <c r="G172" s="3" t="s">
        <v>2</v>
      </c>
    </row>
    <row r="173" spans="1:7" x14ac:dyDescent="0.45">
      <c r="A173" s="3" t="s">
        <v>6</v>
      </c>
      <c r="B173" s="3" t="s">
        <v>5</v>
      </c>
      <c r="C173" s="4">
        <v>424</v>
      </c>
      <c r="D173" s="4">
        <v>173</v>
      </c>
      <c r="E173" s="3">
        <v>181</v>
      </c>
      <c r="F173" s="3">
        <v>3600</v>
      </c>
      <c r="G173" s="3" t="s">
        <v>3</v>
      </c>
    </row>
    <row r="174" spans="1:7" x14ac:dyDescent="0.45">
      <c r="A174" s="3" t="s">
        <v>6</v>
      </c>
      <c r="B174" s="3" t="s">
        <v>5</v>
      </c>
      <c r="C174" s="4">
        <v>485</v>
      </c>
      <c r="D174" s="4">
        <v>175</v>
      </c>
      <c r="E174" s="3">
        <v>191</v>
      </c>
      <c r="F174" s="3">
        <v>3400</v>
      </c>
      <c r="G174" s="3" t="s">
        <v>2</v>
      </c>
    </row>
    <row r="175" spans="1:7" x14ac:dyDescent="0.45">
      <c r="A175" s="3" t="s">
        <v>6</v>
      </c>
      <c r="B175" s="3" t="s">
        <v>5</v>
      </c>
      <c r="C175" s="4">
        <v>432</v>
      </c>
      <c r="D175" s="4">
        <v>166</v>
      </c>
      <c r="E175" s="3">
        <v>187</v>
      </c>
      <c r="F175" s="3">
        <v>2900</v>
      </c>
      <c r="G175" s="3" t="s">
        <v>3</v>
      </c>
    </row>
    <row r="176" spans="1:7" x14ac:dyDescent="0.45">
      <c r="A176" s="3" t="s">
        <v>6</v>
      </c>
      <c r="B176" s="3" t="s">
        <v>5</v>
      </c>
      <c r="C176" s="4">
        <v>506</v>
      </c>
      <c r="D176" s="4">
        <v>194</v>
      </c>
      <c r="E176" s="3">
        <v>193</v>
      </c>
      <c r="F176" s="3">
        <v>3800</v>
      </c>
      <c r="G176" s="3" t="s">
        <v>2</v>
      </c>
    </row>
    <row r="177" spans="1:7" x14ac:dyDescent="0.45">
      <c r="A177" s="3" t="s">
        <v>6</v>
      </c>
      <c r="B177" s="3" t="s">
        <v>5</v>
      </c>
      <c r="C177" s="4">
        <v>467</v>
      </c>
      <c r="D177" s="4">
        <v>179</v>
      </c>
      <c r="E177" s="3">
        <v>195</v>
      </c>
      <c r="F177" s="3">
        <v>3300</v>
      </c>
      <c r="G177" s="3" t="s">
        <v>3</v>
      </c>
    </row>
    <row r="178" spans="1:7" x14ac:dyDescent="0.45">
      <c r="A178" s="3" t="s">
        <v>6</v>
      </c>
      <c r="B178" s="3" t="s">
        <v>5</v>
      </c>
      <c r="C178" s="4">
        <v>520</v>
      </c>
      <c r="D178" s="4">
        <v>190</v>
      </c>
      <c r="E178" s="3">
        <v>197</v>
      </c>
      <c r="F178" s="3">
        <v>4150</v>
      </c>
      <c r="G178" s="3" t="s">
        <v>2</v>
      </c>
    </row>
    <row r="179" spans="1:7" x14ac:dyDescent="0.45">
      <c r="A179" s="3" t="s">
        <v>6</v>
      </c>
      <c r="B179" s="3" t="s">
        <v>5</v>
      </c>
      <c r="C179" s="4">
        <v>505</v>
      </c>
      <c r="D179" s="4">
        <v>184</v>
      </c>
      <c r="E179" s="3">
        <v>200</v>
      </c>
      <c r="F179" s="3">
        <v>3400</v>
      </c>
      <c r="G179" s="3" t="s">
        <v>3</v>
      </c>
    </row>
    <row r="180" spans="1:7" x14ac:dyDescent="0.45">
      <c r="A180" s="3" t="s">
        <v>6</v>
      </c>
      <c r="B180" s="3" t="s">
        <v>5</v>
      </c>
      <c r="C180" s="4">
        <v>495</v>
      </c>
      <c r="D180" s="4">
        <v>190</v>
      </c>
      <c r="E180" s="3">
        <v>200</v>
      </c>
      <c r="F180" s="3">
        <v>3800</v>
      </c>
      <c r="G180" s="3" t="s">
        <v>2</v>
      </c>
    </row>
    <row r="181" spans="1:7" x14ac:dyDescent="0.45">
      <c r="A181" s="3" t="s">
        <v>6</v>
      </c>
      <c r="B181" s="3" t="s">
        <v>5</v>
      </c>
      <c r="C181" s="4">
        <v>464</v>
      </c>
      <c r="D181" s="4">
        <v>178</v>
      </c>
      <c r="E181" s="3">
        <v>191</v>
      </c>
      <c r="F181" s="3">
        <v>3700</v>
      </c>
      <c r="G181" s="3" t="s">
        <v>3</v>
      </c>
    </row>
    <row r="182" spans="1:7" x14ac:dyDescent="0.45">
      <c r="A182" s="3" t="s">
        <v>6</v>
      </c>
      <c r="B182" s="3" t="s">
        <v>5</v>
      </c>
      <c r="C182" s="4">
        <v>528</v>
      </c>
      <c r="D182" s="4">
        <v>200</v>
      </c>
      <c r="E182" s="3">
        <v>205</v>
      </c>
      <c r="F182" s="3">
        <v>4550</v>
      </c>
      <c r="G182" s="3" t="s">
        <v>2</v>
      </c>
    </row>
    <row r="183" spans="1:7" x14ac:dyDescent="0.45">
      <c r="A183" s="3" t="s">
        <v>6</v>
      </c>
      <c r="B183" s="3" t="s">
        <v>5</v>
      </c>
      <c r="C183" s="4">
        <v>409</v>
      </c>
      <c r="D183" s="4">
        <v>166</v>
      </c>
      <c r="E183" s="3">
        <v>187</v>
      </c>
      <c r="F183" s="3">
        <v>3200</v>
      </c>
      <c r="G183" s="3" t="s">
        <v>3</v>
      </c>
    </row>
    <row r="184" spans="1:7" x14ac:dyDescent="0.45">
      <c r="A184" s="3" t="s">
        <v>6</v>
      </c>
      <c r="B184" s="3" t="s">
        <v>5</v>
      </c>
      <c r="C184" s="4">
        <v>542</v>
      </c>
      <c r="D184" s="4">
        <v>208</v>
      </c>
      <c r="E184" s="3">
        <v>201</v>
      </c>
      <c r="F184" s="3">
        <v>4300</v>
      </c>
      <c r="G184" s="3" t="s">
        <v>2</v>
      </c>
    </row>
    <row r="185" spans="1:7" x14ac:dyDescent="0.45">
      <c r="A185" s="3" t="s">
        <v>6</v>
      </c>
      <c r="B185" s="3" t="s">
        <v>5</v>
      </c>
      <c r="C185" s="4">
        <v>425</v>
      </c>
      <c r="D185" s="4">
        <v>167</v>
      </c>
      <c r="E185" s="3">
        <v>187</v>
      </c>
      <c r="F185" s="3">
        <v>3350</v>
      </c>
      <c r="G185" s="3" t="s">
        <v>3</v>
      </c>
    </row>
    <row r="186" spans="1:7" x14ac:dyDescent="0.45">
      <c r="A186" s="3" t="s">
        <v>6</v>
      </c>
      <c r="B186" s="3" t="s">
        <v>5</v>
      </c>
      <c r="C186" s="4">
        <v>510</v>
      </c>
      <c r="D186" s="4">
        <v>188</v>
      </c>
      <c r="E186" s="3">
        <v>203</v>
      </c>
      <c r="F186" s="3">
        <v>4100</v>
      </c>
      <c r="G186" s="3" t="s">
        <v>2</v>
      </c>
    </row>
    <row r="187" spans="1:7" x14ac:dyDescent="0.45">
      <c r="A187" s="3" t="s">
        <v>6</v>
      </c>
      <c r="B187" s="3" t="s">
        <v>5</v>
      </c>
      <c r="C187" s="4">
        <v>497</v>
      </c>
      <c r="D187" s="4">
        <v>186</v>
      </c>
      <c r="E187" s="3">
        <v>195</v>
      </c>
      <c r="F187" s="3">
        <v>3600</v>
      </c>
      <c r="G187" s="3" t="s">
        <v>2</v>
      </c>
    </row>
    <row r="188" spans="1:7" x14ac:dyDescent="0.45">
      <c r="A188" s="3" t="s">
        <v>6</v>
      </c>
      <c r="B188" s="3" t="s">
        <v>5</v>
      </c>
      <c r="C188" s="4">
        <v>475</v>
      </c>
      <c r="D188" s="4">
        <v>168</v>
      </c>
      <c r="E188" s="3">
        <v>199</v>
      </c>
      <c r="F188" s="3">
        <v>3900</v>
      </c>
      <c r="G188" s="3" t="s">
        <v>3</v>
      </c>
    </row>
    <row r="189" spans="1:7" x14ac:dyDescent="0.45">
      <c r="A189" s="3" t="s">
        <v>6</v>
      </c>
      <c r="B189" s="3" t="s">
        <v>5</v>
      </c>
      <c r="C189" s="4">
        <v>476</v>
      </c>
      <c r="D189" s="4">
        <v>183</v>
      </c>
      <c r="E189" s="3">
        <v>195</v>
      </c>
      <c r="F189" s="3">
        <v>3850</v>
      </c>
      <c r="G189" s="3" t="s">
        <v>3</v>
      </c>
    </row>
    <row r="190" spans="1:7" x14ac:dyDescent="0.45">
      <c r="A190" s="3" t="s">
        <v>6</v>
      </c>
      <c r="B190" s="3" t="s">
        <v>5</v>
      </c>
      <c r="C190" s="4">
        <v>520</v>
      </c>
      <c r="D190" s="4">
        <v>207</v>
      </c>
      <c r="E190" s="3">
        <v>210</v>
      </c>
      <c r="F190" s="3">
        <v>4800</v>
      </c>
      <c r="G190" s="3" t="s">
        <v>2</v>
      </c>
    </row>
    <row r="191" spans="1:7" x14ac:dyDescent="0.45">
      <c r="A191" s="3" t="s">
        <v>6</v>
      </c>
      <c r="B191" s="3" t="s">
        <v>5</v>
      </c>
      <c r="C191" s="4">
        <v>469</v>
      </c>
      <c r="D191" s="4">
        <v>166</v>
      </c>
      <c r="E191" s="3">
        <v>192</v>
      </c>
      <c r="F191" s="3">
        <v>2700</v>
      </c>
      <c r="G191" s="3" t="s">
        <v>3</v>
      </c>
    </row>
    <row r="192" spans="1:7" x14ac:dyDescent="0.45">
      <c r="A192" s="3" t="s">
        <v>6</v>
      </c>
      <c r="B192" s="3" t="s">
        <v>5</v>
      </c>
      <c r="C192" s="4">
        <v>535</v>
      </c>
      <c r="D192" s="4">
        <v>199</v>
      </c>
      <c r="E192" s="3">
        <v>205</v>
      </c>
      <c r="F192" s="3">
        <v>4500</v>
      </c>
      <c r="G192" s="3" t="s">
        <v>2</v>
      </c>
    </row>
    <row r="193" spans="1:7" x14ac:dyDescent="0.45">
      <c r="A193" s="3" t="s">
        <v>6</v>
      </c>
      <c r="B193" s="3" t="s">
        <v>5</v>
      </c>
      <c r="C193" s="4">
        <v>490</v>
      </c>
      <c r="D193" s="4">
        <v>195</v>
      </c>
      <c r="E193" s="3">
        <v>210</v>
      </c>
      <c r="F193" s="3">
        <v>3950</v>
      </c>
      <c r="G193" s="3" t="s">
        <v>2</v>
      </c>
    </row>
    <row r="194" spans="1:7" x14ac:dyDescent="0.45">
      <c r="A194" s="3" t="s">
        <v>6</v>
      </c>
      <c r="B194" s="3" t="s">
        <v>5</v>
      </c>
      <c r="C194" s="4">
        <v>462</v>
      </c>
      <c r="D194" s="4">
        <v>175</v>
      </c>
      <c r="E194" s="3">
        <v>187</v>
      </c>
      <c r="F194" s="3">
        <v>3650</v>
      </c>
      <c r="G194" s="3" t="s">
        <v>3</v>
      </c>
    </row>
    <row r="195" spans="1:7" x14ac:dyDescent="0.45">
      <c r="A195" s="3" t="s">
        <v>6</v>
      </c>
      <c r="B195" s="3" t="s">
        <v>5</v>
      </c>
      <c r="C195" s="4">
        <v>509</v>
      </c>
      <c r="D195" s="4">
        <v>191</v>
      </c>
      <c r="E195" s="3">
        <v>196</v>
      </c>
      <c r="F195" s="3">
        <v>3550</v>
      </c>
      <c r="G195" s="3" t="s">
        <v>2</v>
      </c>
    </row>
    <row r="196" spans="1:7" x14ac:dyDescent="0.45">
      <c r="A196" s="3" t="s">
        <v>6</v>
      </c>
      <c r="B196" s="3" t="s">
        <v>5</v>
      </c>
      <c r="C196" s="4">
        <v>455</v>
      </c>
      <c r="D196" s="4">
        <v>170</v>
      </c>
      <c r="E196" s="3">
        <v>196</v>
      </c>
      <c r="F196" s="3">
        <v>3500</v>
      </c>
      <c r="G196" s="3" t="s">
        <v>3</v>
      </c>
    </row>
    <row r="197" spans="1:7" x14ac:dyDescent="0.45">
      <c r="A197" s="3" t="s">
        <v>6</v>
      </c>
      <c r="B197" s="3" t="s">
        <v>5</v>
      </c>
      <c r="C197" s="4">
        <v>509</v>
      </c>
      <c r="D197" s="4">
        <v>179</v>
      </c>
      <c r="E197" s="3">
        <v>196</v>
      </c>
      <c r="F197" s="3">
        <v>3675</v>
      </c>
      <c r="G197" s="3" t="s">
        <v>3</v>
      </c>
    </row>
    <row r="198" spans="1:7" x14ac:dyDescent="0.45">
      <c r="A198" s="3" t="s">
        <v>6</v>
      </c>
      <c r="B198" s="3" t="s">
        <v>5</v>
      </c>
      <c r="C198" s="4">
        <v>508</v>
      </c>
      <c r="D198" s="4">
        <v>185</v>
      </c>
      <c r="E198" s="3">
        <v>201</v>
      </c>
      <c r="F198" s="3">
        <v>4450</v>
      </c>
      <c r="G198" s="3" t="s">
        <v>2</v>
      </c>
    </row>
    <row r="199" spans="1:7" x14ac:dyDescent="0.45">
      <c r="A199" s="3" t="s">
        <v>6</v>
      </c>
      <c r="B199" s="3" t="s">
        <v>5</v>
      </c>
      <c r="C199" s="4">
        <v>501</v>
      </c>
      <c r="D199" s="4">
        <v>179</v>
      </c>
      <c r="E199" s="3">
        <v>190</v>
      </c>
      <c r="F199" s="3">
        <v>3400</v>
      </c>
      <c r="G199" s="3" t="s">
        <v>3</v>
      </c>
    </row>
    <row r="200" spans="1:7" x14ac:dyDescent="0.45">
      <c r="A200" s="3" t="s">
        <v>6</v>
      </c>
      <c r="B200" s="3" t="s">
        <v>5</v>
      </c>
      <c r="C200" s="4">
        <v>490</v>
      </c>
      <c r="D200" s="4">
        <v>196</v>
      </c>
      <c r="E200" s="3">
        <v>212</v>
      </c>
      <c r="F200" s="3">
        <v>4300</v>
      </c>
      <c r="G200" s="3" t="s">
        <v>2</v>
      </c>
    </row>
    <row r="201" spans="1:7" x14ac:dyDescent="0.45">
      <c r="A201" s="3" t="s">
        <v>6</v>
      </c>
      <c r="B201" s="3" t="s">
        <v>5</v>
      </c>
      <c r="C201" s="4">
        <v>515</v>
      </c>
      <c r="D201" s="4">
        <v>187</v>
      </c>
      <c r="E201" s="3">
        <v>187</v>
      </c>
      <c r="F201" s="3">
        <v>3250</v>
      </c>
      <c r="G201" s="3" t="s">
        <v>2</v>
      </c>
    </row>
    <row r="202" spans="1:7" x14ac:dyDescent="0.45">
      <c r="A202" s="3" t="s">
        <v>6</v>
      </c>
      <c r="B202" s="3" t="s">
        <v>5</v>
      </c>
      <c r="C202" s="4">
        <v>498</v>
      </c>
      <c r="D202" s="4">
        <v>173</v>
      </c>
      <c r="E202" s="3">
        <v>198</v>
      </c>
      <c r="F202" s="3">
        <v>3675</v>
      </c>
      <c r="G202" s="3" t="s">
        <v>3</v>
      </c>
    </row>
    <row r="203" spans="1:7" x14ac:dyDescent="0.45">
      <c r="A203" s="3" t="s">
        <v>6</v>
      </c>
      <c r="B203" s="3" t="s">
        <v>5</v>
      </c>
      <c r="C203" s="4">
        <v>481</v>
      </c>
      <c r="D203" s="4">
        <v>164</v>
      </c>
      <c r="E203" s="3">
        <v>199</v>
      </c>
      <c r="F203" s="3">
        <v>3325</v>
      </c>
      <c r="G203" s="3" t="s">
        <v>3</v>
      </c>
    </row>
    <row r="204" spans="1:7" x14ac:dyDescent="0.45">
      <c r="A204" s="3" t="s">
        <v>6</v>
      </c>
      <c r="B204" s="3" t="s">
        <v>5</v>
      </c>
      <c r="C204" s="4">
        <v>514</v>
      </c>
      <c r="D204" s="4">
        <v>190</v>
      </c>
      <c r="E204" s="3">
        <v>201</v>
      </c>
      <c r="F204" s="3">
        <v>3950</v>
      </c>
      <c r="G204" s="3" t="s">
        <v>2</v>
      </c>
    </row>
    <row r="205" spans="1:7" x14ac:dyDescent="0.45">
      <c r="A205" s="3" t="s">
        <v>6</v>
      </c>
      <c r="B205" s="3" t="s">
        <v>5</v>
      </c>
      <c r="C205" s="4">
        <v>457</v>
      </c>
      <c r="D205" s="4">
        <v>173</v>
      </c>
      <c r="E205" s="3">
        <v>193</v>
      </c>
      <c r="F205" s="3">
        <v>3600</v>
      </c>
      <c r="G205" s="3" t="s">
        <v>3</v>
      </c>
    </row>
    <row r="206" spans="1:7" x14ac:dyDescent="0.45">
      <c r="A206" s="3" t="s">
        <v>6</v>
      </c>
      <c r="B206" s="3" t="s">
        <v>5</v>
      </c>
      <c r="C206" s="4">
        <v>507</v>
      </c>
      <c r="D206" s="4">
        <v>197</v>
      </c>
      <c r="E206" s="3">
        <v>203</v>
      </c>
      <c r="F206" s="3">
        <v>4050</v>
      </c>
      <c r="G206" s="3" t="s">
        <v>2</v>
      </c>
    </row>
    <row r="207" spans="1:7" x14ac:dyDescent="0.45">
      <c r="A207" s="3" t="s">
        <v>6</v>
      </c>
      <c r="B207" s="3" t="s">
        <v>5</v>
      </c>
      <c r="C207" s="4">
        <v>425</v>
      </c>
      <c r="D207" s="4">
        <v>173</v>
      </c>
      <c r="E207" s="3">
        <v>187</v>
      </c>
      <c r="F207" s="3">
        <v>3350</v>
      </c>
      <c r="G207" s="3" t="s">
        <v>3</v>
      </c>
    </row>
    <row r="208" spans="1:7" x14ac:dyDescent="0.45">
      <c r="A208" s="3" t="s">
        <v>6</v>
      </c>
      <c r="B208" s="3" t="s">
        <v>5</v>
      </c>
      <c r="C208" s="4">
        <v>522</v>
      </c>
      <c r="D208" s="4">
        <v>188</v>
      </c>
      <c r="E208" s="3">
        <v>197</v>
      </c>
      <c r="F208" s="3">
        <v>3450</v>
      </c>
      <c r="G208" s="3" t="s">
        <v>2</v>
      </c>
    </row>
    <row r="209" spans="1:7" x14ac:dyDescent="0.45">
      <c r="A209" s="3" t="s">
        <v>6</v>
      </c>
      <c r="B209" s="3" t="s">
        <v>5</v>
      </c>
      <c r="C209" s="4">
        <v>452</v>
      </c>
      <c r="D209" s="4">
        <v>166</v>
      </c>
      <c r="E209" s="3">
        <v>191</v>
      </c>
      <c r="F209" s="3">
        <v>3250</v>
      </c>
      <c r="G209" s="3" t="s">
        <v>3</v>
      </c>
    </row>
    <row r="210" spans="1:7" x14ac:dyDescent="0.45">
      <c r="A210" s="3" t="s">
        <v>6</v>
      </c>
      <c r="B210" s="3" t="s">
        <v>5</v>
      </c>
      <c r="C210" s="4">
        <v>493</v>
      </c>
      <c r="D210" s="4">
        <v>199</v>
      </c>
      <c r="E210" s="3">
        <v>203</v>
      </c>
      <c r="F210" s="3">
        <v>4050</v>
      </c>
      <c r="G210" s="3" t="s">
        <v>2</v>
      </c>
    </row>
    <row r="211" spans="1:7" x14ac:dyDescent="0.45">
      <c r="A211" s="3" t="s">
        <v>6</v>
      </c>
      <c r="B211" s="3" t="s">
        <v>5</v>
      </c>
      <c r="C211" s="4">
        <v>502</v>
      </c>
      <c r="D211" s="4">
        <v>188</v>
      </c>
      <c r="E211" s="3">
        <v>202</v>
      </c>
      <c r="F211" s="3">
        <v>3800</v>
      </c>
      <c r="G211" s="3" t="s">
        <v>2</v>
      </c>
    </row>
    <row r="212" spans="1:7" x14ac:dyDescent="0.45">
      <c r="A212" s="3" t="s">
        <v>6</v>
      </c>
      <c r="B212" s="3" t="s">
        <v>5</v>
      </c>
      <c r="C212" s="4">
        <v>456</v>
      </c>
      <c r="D212" s="4">
        <v>194</v>
      </c>
      <c r="E212" s="3">
        <v>194</v>
      </c>
      <c r="F212" s="3">
        <v>3525</v>
      </c>
      <c r="G212" s="3" t="s">
        <v>3</v>
      </c>
    </row>
    <row r="213" spans="1:7" x14ac:dyDescent="0.45">
      <c r="A213" s="3" t="s">
        <v>6</v>
      </c>
      <c r="B213" s="3" t="s">
        <v>5</v>
      </c>
      <c r="C213" s="4">
        <v>519</v>
      </c>
      <c r="D213" s="4">
        <v>195</v>
      </c>
      <c r="E213" s="3">
        <v>206</v>
      </c>
      <c r="F213" s="3">
        <v>3950</v>
      </c>
      <c r="G213" s="3" t="s">
        <v>2</v>
      </c>
    </row>
    <row r="214" spans="1:7" x14ac:dyDescent="0.45">
      <c r="A214" s="3" t="s">
        <v>6</v>
      </c>
      <c r="B214" s="3" t="s">
        <v>5</v>
      </c>
      <c r="C214" s="4">
        <v>468</v>
      </c>
      <c r="D214" s="4">
        <v>165</v>
      </c>
      <c r="E214" s="3">
        <v>189</v>
      </c>
      <c r="F214" s="3">
        <v>3650</v>
      </c>
      <c r="G214" s="3" t="s">
        <v>3</v>
      </c>
    </row>
    <row r="215" spans="1:7" x14ac:dyDescent="0.45">
      <c r="A215" s="3" t="s">
        <v>6</v>
      </c>
      <c r="B215" s="3" t="s">
        <v>5</v>
      </c>
      <c r="C215" s="4">
        <v>457</v>
      </c>
      <c r="D215" s="4">
        <v>170</v>
      </c>
      <c r="E215" s="3">
        <v>195</v>
      </c>
      <c r="F215" s="3">
        <v>3650</v>
      </c>
      <c r="G215" s="3" t="s">
        <v>3</v>
      </c>
    </row>
    <row r="216" spans="1:7" x14ac:dyDescent="0.45">
      <c r="A216" s="3" t="s">
        <v>6</v>
      </c>
      <c r="B216" s="3" t="s">
        <v>5</v>
      </c>
      <c r="C216" s="4">
        <v>558</v>
      </c>
      <c r="D216" s="4">
        <v>198</v>
      </c>
      <c r="E216" s="3">
        <v>207</v>
      </c>
      <c r="F216" s="3">
        <v>4000</v>
      </c>
      <c r="G216" s="3" t="s">
        <v>2</v>
      </c>
    </row>
    <row r="217" spans="1:7" x14ac:dyDescent="0.45">
      <c r="A217" s="3" t="s">
        <v>6</v>
      </c>
      <c r="B217" s="3" t="s">
        <v>5</v>
      </c>
      <c r="C217" s="4">
        <v>435</v>
      </c>
      <c r="D217" s="4">
        <v>181</v>
      </c>
      <c r="E217" s="3">
        <v>202</v>
      </c>
      <c r="F217" s="3">
        <v>3400</v>
      </c>
      <c r="G217" s="3" t="s">
        <v>3</v>
      </c>
    </row>
    <row r="218" spans="1:7" x14ac:dyDescent="0.45">
      <c r="A218" s="3" t="s">
        <v>6</v>
      </c>
      <c r="B218" s="3" t="s">
        <v>5</v>
      </c>
      <c r="C218" s="4">
        <v>496</v>
      </c>
      <c r="D218" s="4">
        <v>182</v>
      </c>
      <c r="E218" s="3">
        <v>193</v>
      </c>
      <c r="F218" s="3">
        <v>3775</v>
      </c>
      <c r="G218" s="3" t="s">
        <v>2</v>
      </c>
    </row>
    <row r="219" spans="1:7" x14ac:dyDescent="0.45">
      <c r="A219" s="3" t="s">
        <v>6</v>
      </c>
      <c r="B219" s="3" t="s">
        <v>5</v>
      </c>
      <c r="C219" s="4">
        <v>508</v>
      </c>
      <c r="D219" s="4">
        <v>190</v>
      </c>
      <c r="E219" s="3">
        <v>210</v>
      </c>
      <c r="F219" s="3">
        <v>4100</v>
      </c>
      <c r="G219" s="3" t="s">
        <v>2</v>
      </c>
    </row>
    <row r="220" spans="1:7" x14ac:dyDescent="0.45">
      <c r="A220" s="3" t="s">
        <v>6</v>
      </c>
      <c r="B220" s="3" t="s">
        <v>5</v>
      </c>
      <c r="C220" s="4">
        <v>502</v>
      </c>
      <c r="D220" s="4">
        <v>187</v>
      </c>
      <c r="E220" s="3">
        <v>198</v>
      </c>
      <c r="F220" s="3">
        <v>3775</v>
      </c>
      <c r="G220" s="3" t="s">
        <v>3</v>
      </c>
    </row>
    <row r="221" spans="1:7" x14ac:dyDescent="0.45">
      <c r="A221" s="3" t="s">
        <v>7</v>
      </c>
      <c r="B221" s="3" t="s">
        <v>4</v>
      </c>
      <c r="C221" s="4">
        <v>461</v>
      </c>
      <c r="D221" s="4">
        <v>132</v>
      </c>
      <c r="E221" s="3">
        <v>211</v>
      </c>
      <c r="F221" s="3">
        <v>4500</v>
      </c>
      <c r="G221" s="3" t="s">
        <v>3</v>
      </c>
    </row>
    <row r="222" spans="1:7" x14ac:dyDescent="0.45">
      <c r="A222" s="3" t="s">
        <v>7</v>
      </c>
      <c r="B222" s="3" t="s">
        <v>4</v>
      </c>
      <c r="C222" s="4">
        <v>500</v>
      </c>
      <c r="D222" s="4">
        <v>163</v>
      </c>
      <c r="E222" s="3">
        <v>230</v>
      </c>
      <c r="F222" s="3">
        <v>5700</v>
      </c>
      <c r="G222" s="3" t="s">
        <v>2</v>
      </c>
    </row>
    <row r="223" spans="1:7" x14ac:dyDescent="0.45">
      <c r="A223" s="3" t="s">
        <v>7</v>
      </c>
      <c r="B223" s="3" t="s">
        <v>4</v>
      </c>
      <c r="C223" s="4">
        <v>487</v>
      </c>
      <c r="D223" s="4">
        <v>141</v>
      </c>
      <c r="E223" s="3">
        <v>210</v>
      </c>
      <c r="F223" s="3">
        <v>4450</v>
      </c>
      <c r="G223" s="3" t="s">
        <v>3</v>
      </c>
    </row>
    <row r="224" spans="1:7" x14ac:dyDescent="0.45">
      <c r="A224" s="3" t="s">
        <v>7</v>
      </c>
      <c r="B224" s="3" t="s">
        <v>4</v>
      </c>
      <c r="C224" s="4">
        <v>500</v>
      </c>
      <c r="D224" s="4">
        <v>152</v>
      </c>
      <c r="E224" s="3">
        <v>218</v>
      </c>
      <c r="F224" s="3">
        <v>5700</v>
      </c>
      <c r="G224" s="3" t="s">
        <v>2</v>
      </c>
    </row>
    <row r="225" spans="1:7" x14ac:dyDescent="0.45">
      <c r="A225" s="3" t="s">
        <v>7</v>
      </c>
      <c r="B225" s="3" t="s">
        <v>4</v>
      </c>
      <c r="C225" s="4">
        <v>476</v>
      </c>
      <c r="D225" s="4">
        <v>145</v>
      </c>
      <c r="E225" s="3">
        <v>215</v>
      </c>
      <c r="F225" s="3">
        <v>5400</v>
      </c>
      <c r="G225" s="3" t="s">
        <v>2</v>
      </c>
    </row>
    <row r="226" spans="1:7" x14ac:dyDescent="0.45">
      <c r="A226" s="3" t="s">
        <v>7</v>
      </c>
      <c r="B226" s="3" t="s">
        <v>4</v>
      </c>
      <c r="C226" s="4">
        <v>465</v>
      </c>
      <c r="D226" s="4">
        <v>135</v>
      </c>
      <c r="E226" s="3">
        <v>210</v>
      </c>
      <c r="F226" s="3">
        <v>4550</v>
      </c>
      <c r="G226" s="3" t="s">
        <v>3</v>
      </c>
    </row>
    <row r="227" spans="1:7" x14ac:dyDescent="0.45">
      <c r="A227" s="3" t="s">
        <v>7</v>
      </c>
      <c r="B227" s="3" t="s">
        <v>4</v>
      </c>
      <c r="C227" s="4">
        <v>454</v>
      </c>
      <c r="D227" s="4">
        <v>146</v>
      </c>
      <c r="E227" s="3">
        <v>211</v>
      </c>
      <c r="F227" s="3">
        <v>4800</v>
      </c>
      <c r="G227" s="3" t="s">
        <v>3</v>
      </c>
    </row>
    <row r="228" spans="1:7" x14ac:dyDescent="0.45">
      <c r="A228" s="3" t="s">
        <v>7</v>
      </c>
      <c r="B228" s="3" t="s">
        <v>4</v>
      </c>
      <c r="C228" s="4">
        <v>467</v>
      </c>
      <c r="D228" s="4">
        <v>153</v>
      </c>
      <c r="E228" s="3">
        <v>219</v>
      </c>
      <c r="F228" s="3">
        <v>5200</v>
      </c>
      <c r="G228" s="3" t="s">
        <v>2</v>
      </c>
    </row>
    <row r="229" spans="1:7" x14ac:dyDescent="0.45">
      <c r="A229" s="3" t="s">
        <v>7</v>
      </c>
      <c r="B229" s="3" t="s">
        <v>4</v>
      </c>
      <c r="C229" s="4">
        <v>433</v>
      </c>
      <c r="D229" s="4">
        <v>134</v>
      </c>
      <c r="E229" s="3">
        <v>209</v>
      </c>
      <c r="F229" s="3">
        <v>4400</v>
      </c>
      <c r="G229" s="3" t="s">
        <v>3</v>
      </c>
    </row>
    <row r="230" spans="1:7" x14ac:dyDescent="0.45">
      <c r="A230" s="3" t="s">
        <v>7</v>
      </c>
      <c r="B230" s="3" t="s">
        <v>4</v>
      </c>
      <c r="C230" s="4">
        <v>468</v>
      </c>
      <c r="D230" s="4">
        <v>154</v>
      </c>
      <c r="E230" s="3">
        <v>215</v>
      </c>
      <c r="F230" s="3">
        <v>5150</v>
      </c>
      <c r="G230" s="3" t="s">
        <v>2</v>
      </c>
    </row>
    <row r="231" spans="1:7" x14ac:dyDescent="0.45">
      <c r="A231" s="3" t="s">
        <v>7</v>
      </c>
      <c r="B231" s="3" t="s">
        <v>4</v>
      </c>
      <c r="C231" s="4">
        <v>409</v>
      </c>
      <c r="D231" s="4">
        <v>137</v>
      </c>
      <c r="E231" s="3">
        <v>214</v>
      </c>
      <c r="F231" s="3">
        <v>4650</v>
      </c>
      <c r="G231" s="3" t="s">
        <v>3</v>
      </c>
    </row>
    <row r="232" spans="1:7" x14ac:dyDescent="0.45">
      <c r="A232" s="3" t="s">
        <v>7</v>
      </c>
      <c r="B232" s="3" t="s">
        <v>4</v>
      </c>
      <c r="C232" s="4">
        <v>490</v>
      </c>
      <c r="D232" s="4">
        <v>161</v>
      </c>
      <c r="E232" s="3">
        <v>216</v>
      </c>
      <c r="F232" s="3">
        <v>5550</v>
      </c>
      <c r="G232" s="3" t="s">
        <v>2</v>
      </c>
    </row>
    <row r="233" spans="1:7" x14ac:dyDescent="0.45">
      <c r="A233" s="3" t="s">
        <v>7</v>
      </c>
      <c r="B233" s="3" t="s">
        <v>4</v>
      </c>
      <c r="C233" s="4">
        <v>455</v>
      </c>
      <c r="D233" s="4">
        <v>137</v>
      </c>
      <c r="E233" s="3">
        <v>214</v>
      </c>
      <c r="F233" s="3">
        <v>4650</v>
      </c>
      <c r="G233" s="3" t="s">
        <v>3</v>
      </c>
    </row>
    <row r="234" spans="1:7" x14ac:dyDescent="0.45">
      <c r="A234" s="3" t="s">
        <v>7</v>
      </c>
      <c r="B234" s="3" t="s">
        <v>4</v>
      </c>
      <c r="C234" s="4">
        <v>484</v>
      </c>
      <c r="D234" s="4">
        <v>146</v>
      </c>
      <c r="E234" s="3">
        <v>213</v>
      </c>
      <c r="F234" s="3">
        <v>5850</v>
      </c>
      <c r="G234" s="3" t="s">
        <v>2</v>
      </c>
    </row>
    <row r="235" spans="1:7" x14ac:dyDescent="0.45">
      <c r="A235" s="3" t="s">
        <v>7</v>
      </c>
      <c r="B235" s="3" t="s">
        <v>4</v>
      </c>
      <c r="C235" s="4">
        <v>458</v>
      </c>
      <c r="D235" s="4">
        <v>146</v>
      </c>
      <c r="E235" s="3">
        <v>210</v>
      </c>
      <c r="F235" s="3">
        <v>4200</v>
      </c>
      <c r="G235" s="3" t="s">
        <v>3</v>
      </c>
    </row>
    <row r="236" spans="1:7" x14ac:dyDescent="0.45">
      <c r="A236" s="3" t="s">
        <v>7</v>
      </c>
      <c r="B236" s="3" t="s">
        <v>4</v>
      </c>
      <c r="C236" s="4">
        <v>493</v>
      </c>
      <c r="D236" s="4">
        <v>157</v>
      </c>
      <c r="E236" s="3">
        <v>217</v>
      </c>
      <c r="F236" s="3">
        <v>5850</v>
      </c>
      <c r="G236" s="3" t="s">
        <v>2</v>
      </c>
    </row>
    <row r="237" spans="1:7" x14ac:dyDescent="0.45">
      <c r="A237" s="3" t="s">
        <v>7</v>
      </c>
      <c r="B237" s="3" t="s">
        <v>4</v>
      </c>
      <c r="C237" s="4">
        <v>420</v>
      </c>
      <c r="D237" s="4">
        <v>135</v>
      </c>
      <c r="E237" s="3">
        <v>210</v>
      </c>
      <c r="F237" s="3">
        <v>4150</v>
      </c>
      <c r="G237" s="3" t="s">
        <v>3</v>
      </c>
    </row>
    <row r="238" spans="1:7" x14ac:dyDescent="0.45">
      <c r="A238" s="3" t="s">
        <v>7</v>
      </c>
      <c r="B238" s="3" t="s">
        <v>4</v>
      </c>
      <c r="C238" s="4">
        <v>492</v>
      </c>
      <c r="D238" s="4">
        <v>152</v>
      </c>
      <c r="E238" s="3">
        <v>221</v>
      </c>
      <c r="F238" s="3">
        <v>6300</v>
      </c>
      <c r="G238" s="3" t="s">
        <v>2</v>
      </c>
    </row>
    <row r="239" spans="1:7" x14ac:dyDescent="0.45">
      <c r="A239" s="3" t="s">
        <v>7</v>
      </c>
      <c r="B239" s="3" t="s">
        <v>4</v>
      </c>
      <c r="C239" s="4">
        <v>462</v>
      </c>
      <c r="D239" s="4">
        <v>145</v>
      </c>
      <c r="E239" s="3">
        <v>209</v>
      </c>
      <c r="F239" s="3">
        <v>4800</v>
      </c>
      <c r="G239" s="3" t="s">
        <v>3</v>
      </c>
    </row>
    <row r="240" spans="1:7" x14ac:dyDescent="0.45">
      <c r="A240" s="3" t="s">
        <v>7</v>
      </c>
      <c r="B240" s="3" t="s">
        <v>4</v>
      </c>
      <c r="C240" s="4">
        <v>487</v>
      </c>
      <c r="D240" s="4">
        <v>151</v>
      </c>
      <c r="E240" s="3">
        <v>222</v>
      </c>
      <c r="F240" s="3">
        <v>5350</v>
      </c>
      <c r="G240" s="3" t="s">
        <v>2</v>
      </c>
    </row>
    <row r="241" spans="1:7" x14ac:dyDescent="0.45">
      <c r="A241" s="3" t="s">
        <v>7</v>
      </c>
      <c r="B241" s="3" t="s">
        <v>4</v>
      </c>
      <c r="C241" s="4">
        <v>502</v>
      </c>
      <c r="D241" s="4">
        <v>143</v>
      </c>
      <c r="E241" s="3">
        <v>218</v>
      </c>
      <c r="F241" s="3">
        <v>5700</v>
      </c>
      <c r="G241" s="3" t="s">
        <v>2</v>
      </c>
    </row>
    <row r="242" spans="1:7" x14ac:dyDescent="0.45">
      <c r="A242" s="3" t="s">
        <v>7</v>
      </c>
      <c r="B242" s="3" t="s">
        <v>4</v>
      </c>
      <c r="C242" s="4">
        <v>451</v>
      </c>
      <c r="D242" s="4">
        <v>145</v>
      </c>
      <c r="E242" s="3">
        <v>215</v>
      </c>
      <c r="F242" s="3">
        <v>5000</v>
      </c>
      <c r="G242" s="3" t="s">
        <v>3</v>
      </c>
    </row>
    <row r="243" spans="1:7" x14ac:dyDescent="0.45">
      <c r="A243" s="3" t="s">
        <v>7</v>
      </c>
      <c r="B243" s="3" t="s">
        <v>4</v>
      </c>
      <c r="C243" s="4">
        <v>465</v>
      </c>
      <c r="D243" s="4">
        <v>145</v>
      </c>
      <c r="E243" s="3">
        <v>213</v>
      </c>
      <c r="F243" s="3">
        <v>4400</v>
      </c>
      <c r="G243" s="3" t="s">
        <v>3</v>
      </c>
    </row>
    <row r="244" spans="1:7" x14ac:dyDescent="0.45">
      <c r="A244" s="3" t="s">
        <v>7</v>
      </c>
      <c r="B244" s="3" t="s">
        <v>4</v>
      </c>
      <c r="C244" s="4">
        <v>463</v>
      </c>
      <c r="D244" s="4">
        <v>158</v>
      </c>
      <c r="E244" s="3">
        <v>215</v>
      </c>
      <c r="F244" s="3">
        <v>5050</v>
      </c>
      <c r="G244" s="3" t="s">
        <v>2</v>
      </c>
    </row>
    <row r="245" spans="1:7" x14ac:dyDescent="0.45">
      <c r="A245" s="3" t="s">
        <v>7</v>
      </c>
      <c r="B245" s="3" t="s">
        <v>4</v>
      </c>
      <c r="C245" s="4">
        <v>429</v>
      </c>
      <c r="D245" s="4">
        <v>131</v>
      </c>
      <c r="E245" s="3">
        <v>215</v>
      </c>
      <c r="F245" s="3">
        <v>5000</v>
      </c>
      <c r="G245" s="3" t="s">
        <v>3</v>
      </c>
    </row>
    <row r="246" spans="1:7" x14ac:dyDescent="0.45">
      <c r="A246" s="3" t="s">
        <v>7</v>
      </c>
      <c r="B246" s="3" t="s">
        <v>4</v>
      </c>
      <c r="C246" s="4">
        <v>461</v>
      </c>
      <c r="D246" s="4">
        <v>151</v>
      </c>
      <c r="E246" s="3">
        <v>215</v>
      </c>
      <c r="F246" s="3">
        <v>5100</v>
      </c>
      <c r="G246" s="3" t="s">
        <v>2</v>
      </c>
    </row>
    <row r="247" spans="1:7" x14ac:dyDescent="0.45">
      <c r="A247" s="3" t="s">
        <v>7</v>
      </c>
      <c r="B247" s="3" t="s">
        <v>4</v>
      </c>
      <c r="C247" s="4">
        <v>445</v>
      </c>
      <c r="D247" s="4">
        <v>143</v>
      </c>
      <c r="E247" s="3">
        <v>216</v>
      </c>
      <c r="F247" s="3">
        <v>4100</v>
      </c>
      <c r="G247" s="3" t="s">
        <v>3</v>
      </c>
    </row>
    <row r="248" spans="1:7" x14ac:dyDescent="0.45">
      <c r="A248" s="3" t="s">
        <v>7</v>
      </c>
      <c r="B248" s="3" t="s">
        <v>4</v>
      </c>
      <c r="C248" s="4">
        <v>478</v>
      </c>
      <c r="D248" s="4">
        <v>150</v>
      </c>
      <c r="E248" s="3">
        <v>215</v>
      </c>
      <c r="F248" s="3">
        <v>5650</v>
      </c>
      <c r="G248" s="3" t="s">
        <v>2</v>
      </c>
    </row>
    <row r="249" spans="1:7" x14ac:dyDescent="0.45">
      <c r="A249" s="3" t="s">
        <v>7</v>
      </c>
      <c r="B249" s="3" t="s">
        <v>4</v>
      </c>
      <c r="C249" s="4">
        <v>482</v>
      </c>
      <c r="D249" s="4">
        <v>143</v>
      </c>
      <c r="E249" s="3">
        <v>210</v>
      </c>
      <c r="F249" s="3">
        <v>4600</v>
      </c>
      <c r="G249" s="3" t="s">
        <v>3</v>
      </c>
    </row>
    <row r="250" spans="1:7" x14ac:dyDescent="0.45">
      <c r="A250" s="3" t="s">
        <v>7</v>
      </c>
      <c r="B250" s="3" t="s">
        <v>4</v>
      </c>
      <c r="C250" s="4">
        <v>500</v>
      </c>
      <c r="D250" s="4">
        <v>153</v>
      </c>
      <c r="E250" s="3">
        <v>220</v>
      </c>
      <c r="F250" s="3">
        <v>5550</v>
      </c>
      <c r="G250" s="3" t="s">
        <v>2</v>
      </c>
    </row>
    <row r="251" spans="1:7" x14ac:dyDescent="0.45">
      <c r="A251" s="3" t="s">
        <v>7</v>
      </c>
      <c r="B251" s="3" t="s">
        <v>4</v>
      </c>
      <c r="C251" s="4">
        <v>473</v>
      </c>
      <c r="D251" s="4">
        <v>153</v>
      </c>
      <c r="E251" s="3">
        <v>222</v>
      </c>
      <c r="F251" s="3">
        <v>5250</v>
      </c>
      <c r="G251" s="3" t="s">
        <v>2</v>
      </c>
    </row>
    <row r="252" spans="1:7" x14ac:dyDescent="0.45">
      <c r="A252" s="3" t="s">
        <v>7</v>
      </c>
      <c r="B252" s="3" t="s">
        <v>4</v>
      </c>
      <c r="C252" s="4">
        <v>428</v>
      </c>
      <c r="D252" s="4">
        <v>142</v>
      </c>
      <c r="E252" s="3">
        <v>209</v>
      </c>
      <c r="F252" s="3">
        <v>4700</v>
      </c>
      <c r="G252" s="3" t="s">
        <v>3</v>
      </c>
    </row>
    <row r="253" spans="1:7" x14ac:dyDescent="0.45">
      <c r="A253" s="3" t="s">
        <v>7</v>
      </c>
      <c r="B253" s="3" t="s">
        <v>4</v>
      </c>
      <c r="C253" s="4">
        <v>451</v>
      </c>
      <c r="D253" s="4">
        <v>145</v>
      </c>
      <c r="E253" s="3">
        <v>207</v>
      </c>
      <c r="F253" s="3">
        <v>5050</v>
      </c>
      <c r="G253" s="3" t="s">
        <v>3</v>
      </c>
    </row>
    <row r="254" spans="1:7" x14ac:dyDescent="0.45">
      <c r="A254" s="3" t="s">
        <v>7</v>
      </c>
      <c r="B254" s="3" t="s">
        <v>4</v>
      </c>
      <c r="C254" s="4">
        <v>596</v>
      </c>
      <c r="D254" s="4">
        <v>170</v>
      </c>
      <c r="E254" s="3">
        <v>230</v>
      </c>
      <c r="F254" s="3">
        <v>6050</v>
      </c>
      <c r="G254" s="3" t="s">
        <v>2</v>
      </c>
    </row>
    <row r="255" spans="1:7" x14ac:dyDescent="0.45">
      <c r="A255" s="3" t="s">
        <v>7</v>
      </c>
      <c r="B255" s="3" t="s">
        <v>4</v>
      </c>
      <c r="C255" s="4">
        <v>491</v>
      </c>
      <c r="D255" s="4">
        <v>148</v>
      </c>
      <c r="E255" s="3">
        <v>220</v>
      </c>
      <c r="F255" s="3">
        <v>5150</v>
      </c>
      <c r="G255" s="3" t="s">
        <v>3</v>
      </c>
    </row>
    <row r="256" spans="1:7" x14ac:dyDescent="0.45">
      <c r="A256" s="3" t="s">
        <v>7</v>
      </c>
      <c r="B256" s="3" t="s">
        <v>4</v>
      </c>
      <c r="C256" s="4">
        <v>484</v>
      </c>
      <c r="D256" s="4">
        <v>163</v>
      </c>
      <c r="E256" s="3">
        <v>220</v>
      </c>
      <c r="F256" s="3">
        <v>5400</v>
      </c>
      <c r="G256" s="3" t="s">
        <v>2</v>
      </c>
    </row>
    <row r="257" spans="1:7" x14ac:dyDescent="0.45">
      <c r="A257" s="3" t="s">
        <v>7</v>
      </c>
      <c r="B257" s="3" t="s">
        <v>4</v>
      </c>
      <c r="C257" s="4">
        <v>426</v>
      </c>
      <c r="D257" s="4">
        <v>137</v>
      </c>
      <c r="E257" s="3">
        <v>213</v>
      </c>
      <c r="F257" s="3">
        <v>4950</v>
      </c>
      <c r="G257" s="3" t="s">
        <v>3</v>
      </c>
    </row>
    <row r="258" spans="1:7" x14ac:dyDescent="0.45">
      <c r="A258" s="3" t="s">
        <v>7</v>
      </c>
      <c r="B258" s="3" t="s">
        <v>4</v>
      </c>
      <c r="C258" s="4">
        <v>444</v>
      </c>
      <c r="D258" s="4">
        <v>173</v>
      </c>
      <c r="E258" s="3">
        <v>219</v>
      </c>
      <c r="F258" s="3">
        <v>5250</v>
      </c>
      <c r="G258" s="3" t="s">
        <v>2</v>
      </c>
    </row>
    <row r="259" spans="1:7" x14ac:dyDescent="0.45">
      <c r="A259" s="3" t="s">
        <v>7</v>
      </c>
      <c r="B259" s="3" t="s">
        <v>4</v>
      </c>
      <c r="C259" s="4">
        <v>440</v>
      </c>
      <c r="D259" s="4">
        <v>136</v>
      </c>
      <c r="E259" s="3">
        <v>208</v>
      </c>
      <c r="F259" s="3">
        <v>4350</v>
      </c>
      <c r="G259" s="3" t="s">
        <v>3</v>
      </c>
    </row>
    <row r="260" spans="1:7" x14ac:dyDescent="0.45">
      <c r="A260" s="3" t="s">
        <v>7</v>
      </c>
      <c r="B260" s="3" t="s">
        <v>4</v>
      </c>
      <c r="C260" s="4">
        <v>487</v>
      </c>
      <c r="D260" s="4">
        <v>157</v>
      </c>
      <c r="E260" s="3">
        <v>208</v>
      </c>
      <c r="F260" s="3">
        <v>5350</v>
      </c>
      <c r="G260" s="3" t="s">
        <v>2</v>
      </c>
    </row>
    <row r="261" spans="1:7" x14ac:dyDescent="0.45">
      <c r="A261" s="3" t="s">
        <v>7</v>
      </c>
      <c r="B261" s="3" t="s">
        <v>4</v>
      </c>
      <c r="C261" s="4">
        <v>427</v>
      </c>
      <c r="D261" s="4">
        <v>137</v>
      </c>
      <c r="E261" s="3">
        <v>208</v>
      </c>
      <c r="F261" s="3">
        <v>3950</v>
      </c>
      <c r="G261" s="3" t="s">
        <v>3</v>
      </c>
    </row>
    <row r="262" spans="1:7" x14ac:dyDescent="0.45">
      <c r="A262" s="3" t="s">
        <v>7</v>
      </c>
      <c r="B262" s="3" t="s">
        <v>4</v>
      </c>
      <c r="C262" s="4">
        <v>496</v>
      </c>
      <c r="D262" s="4">
        <v>160</v>
      </c>
      <c r="E262" s="3">
        <v>225</v>
      </c>
      <c r="F262" s="3">
        <v>5700</v>
      </c>
      <c r="G262" s="3" t="s">
        <v>2</v>
      </c>
    </row>
    <row r="263" spans="1:7" x14ac:dyDescent="0.45">
      <c r="A263" s="3" t="s">
        <v>7</v>
      </c>
      <c r="B263" s="3" t="s">
        <v>4</v>
      </c>
      <c r="C263" s="4">
        <v>453</v>
      </c>
      <c r="D263" s="4">
        <v>137</v>
      </c>
      <c r="E263" s="3">
        <v>210</v>
      </c>
      <c r="F263" s="3">
        <v>4300</v>
      </c>
      <c r="G263" s="3" t="s">
        <v>3</v>
      </c>
    </row>
    <row r="264" spans="1:7" x14ac:dyDescent="0.45">
      <c r="A264" s="3" t="s">
        <v>7</v>
      </c>
      <c r="B264" s="3" t="s">
        <v>4</v>
      </c>
      <c r="C264" s="4">
        <v>496</v>
      </c>
      <c r="D264" s="4">
        <v>150</v>
      </c>
      <c r="E264" s="3">
        <v>216</v>
      </c>
      <c r="F264" s="3">
        <v>4750</v>
      </c>
      <c r="G264" s="3" t="s">
        <v>2</v>
      </c>
    </row>
    <row r="265" spans="1:7" x14ac:dyDescent="0.45">
      <c r="A265" s="3" t="s">
        <v>7</v>
      </c>
      <c r="B265" s="3" t="s">
        <v>4</v>
      </c>
      <c r="C265" s="4">
        <v>505</v>
      </c>
      <c r="D265" s="4">
        <v>159</v>
      </c>
      <c r="E265" s="3">
        <v>222</v>
      </c>
      <c r="F265" s="3">
        <v>5550</v>
      </c>
      <c r="G265" s="3" t="s">
        <v>2</v>
      </c>
    </row>
    <row r="266" spans="1:7" x14ac:dyDescent="0.45">
      <c r="A266" s="3" t="s">
        <v>7</v>
      </c>
      <c r="B266" s="3" t="s">
        <v>4</v>
      </c>
      <c r="C266" s="4">
        <v>436</v>
      </c>
      <c r="D266" s="4">
        <v>139</v>
      </c>
      <c r="E266" s="3">
        <v>217</v>
      </c>
      <c r="F266" s="3">
        <v>4900</v>
      </c>
      <c r="G266" s="3" t="s">
        <v>3</v>
      </c>
    </row>
    <row r="267" spans="1:7" x14ac:dyDescent="0.45">
      <c r="A267" s="3" t="s">
        <v>7</v>
      </c>
      <c r="B267" s="3" t="s">
        <v>4</v>
      </c>
      <c r="C267" s="4">
        <v>455</v>
      </c>
      <c r="D267" s="4">
        <v>139</v>
      </c>
      <c r="E267" s="3">
        <v>210</v>
      </c>
      <c r="F267" s="3">
        <v>4200</v>
      </c>
      <c r="G267" s="3" t="s">
        <v>3</v>
      </c>
    </row>
    <row r="268" spans="1:7" x14ac:dyDescent="0.45">
      <c r="A268" s="3" t="s">
        <v>7</v>
      </c>
      <c r="B268" s="3" t="s">
        <v>4</v>
      </c>
      <c r="C268" s="4">
        <v>505</v>
      </c>
      <c r="D268" s="4">
        <v>159</v>
      </c>
      <c r="E268" s="3">
        <v>225</v>
      </c>
      <c r="F268" s="3">
        <v>5400</v>
      </c>
      <c r="G268" s="3" t="s">
        <v>2</v>
      </c>
    </row>
    <row r="269" spans="1:7" x14ac:dyDescent="0.45">
      <c r="A269" s="3" t="s">
        <v>7</v>
      </c>
      <c r="B269" s="3" t="s">
        <v>4</v>
      </c>
      <c r="C269" s="4">
        <v>449</v>
      </c>
      <c r="D269" s="4">
        <v>133</v>
      </c>
      <c r="E269" s="3">
        <v>213</v>
      </c>
      <c r="F269" s="3">
        <v>5100</v>
      </c>
      <c r="G269" s="3" t="s">
        <v>3</v>
      </c>
    </row>
    <row r="270" spans="1:7" x14ac:dyDescent="0.45">
      <c r="A270" s="3" t="s">
        <v>7</v>
      </c>
      <c r="B270" s="3" t="s">
        <v>4</v>
      </c>
      <c r="C270" s="4">
        <v>452</v>
      </c>
      <c r="D270" s="4">
        <v>158</v>
      </c>
      <c r="E270" s="3">
        <v>215</v>
      </c>
      <c r="F270" s="3">
        <v>5300</v>
      </c>
      <c r="G270" s="3" t="s">
        <v>2</v>
      </c>
    </row>
    <row r="271" spans="1:7" x14ac:dyDescent="0.45">
      <c r="A271" s="3" t="s">
        <v>7</v>
      </c>
      <c r="B271" s="3" t="s">
        <v>4</v>
      </c>
      <c r="C271" s="4">
        <v>466</v>
      </c>
      <c r="D271" s="4">
        <v>142</v>
      </c>
      <c r="E271" s="3">
        <v>210</v>
      </c>
      <c r="F271" s="3">
        <v>4850</v>
      </c>
      <c r="G271" s="3" t="s">
        <v>3</v>
      </c>
    </row>
    <row r="272" spans="1:7" x14ac:dyDescent="0.45">
      <c r="A272" s="3" t="s">
        <v>7</v>
      </c>
      <c r="B272" s="3" t="s">
        <v>4</v>
      </c>
      <c r="C272" s="4">
        <v>485</v>
      </c>
      <c r="D272" s="4">
        <v>141</v>
      </c>
      <c r="E272" s="3">
        <v>220</v>
      </c>
      <c r="F272" s="3">
        <v>5300</v>
      </c>
      <c r="G272" s="3" t="s">
        <v>2</v>
      </c>
    </row>
    <row r="273" spans="1:7" x14ac:dyDescent="0.45">
      <c r="A273" s="3" t="s">
        <v>7</v>
      </c>
      <c r="B273" s="3" t="s">
        <v>4</v>
      </c>
      <c r="C273" s="4">
        <v>451</v>
      </c>
      <c r="D273" s="4">
        <v>144</v>
      </c>
      <c r="E273" s="3">
        <v>210</v>
      </c>
      <c r="F273" s="3">
        <v>4400</v>
      </c>
      <c r="G273" s="3" t="s">
        <v>3</v>
      </c>
    </row>
    <row r="274" spans="1:7" x14ac:dyDescent="0.45">
      <c r="A274" s="3" t="s">
        <v>7</v>
      </c>
      <c r="B274" s="3" t="s">
        <v>4</v>
      </c>
      <c r="C274" s="4">
        <v>501</v>
      </c>
      <c r="D274" s="4">
        <v>150</v>
      </c>
      <c r="E274" s="3">
        <v>225</v>
      </c>
      <c r="F274" s="3">
        <v>5000</v>
      </c>
      <c r="G274" s="3" t="s">
        <v>2</v>
      </c>
    </row>
    <row r="275" spans="1:7" x14ac:dyDescent="0.45">
      <c r="A275" s="3" t="s">
        <v>7</v>
      </c>
      <c r="B275" s="3" t="s">
        <v>4</v>
      </c>
      <c r="C275" s="4">
        <v>465</v>
      </c>
      <c r="D275" s="4">
        <v>144</v>
      </c>
      <c r="E275" s="3">
        <v>217</v>
      </c>
      <c r="F275" s="3">
        <v>4900</v>
      </c>
      <c r="G275" s="3" t="s">
        <v>3</v>
      </c>
    </row>
    <row r="276" spans="1:7" x14ac:dyDescent="0.45">
      <c r="A276" s="3" t="s">
        <v>7</v>
      </c>
      <c r="B276" s="3" t="s">
        <v>4</v>
      </c>
      <c r="C276" s="4">
        <v>450</v>
      </c>
      <c r="D276" s="4">
        <v>154</v>
      </c>
      <c r="E276" s="3">
        <v>220</v>
      </c>
      <c r="F276" s="3">
        <v>5050</v>
      </c>
      <c r="G276" s="3" t="s">
        <v>2</v>
      </c>
    </row>
    <row r="277" spans="1:7" x14ac:dyDescent="0.45">
      <c r="A277" s="3" t="s">
        <v>7</v>
      </c>
      <c r="B277" s="3" t="s">
        <v>4</v>
      </c>
      <c r="C277" s="4">
        <v>438</v>
      </c>
      <c r="D277" s="4">
        <v>139</v>
      </c>
      <c r="E277" s="3">
        <v>208</v>
      </c>
      <c r="F277" s="3">
        <v>4300</v>
      </c>
      <c r="G277" s="3" t="s">
        <v>3</v>
      </c>
    </row>
    <row r="278" spans="1:7" x14ac:dyDescent="0.45">
      <c r="A278" s="3" t="s">
        <v>7</v>
      </c>
      <c r="B278" s="3" t="s">
        <v>4</v>
      </c>
      <c r="C278" s="4">
        <v>455</v>
      </c>
      <c r="D278" s="4">
        <v>150</v>
      </c>
      <c r="E278" s="3">
        <v>220</v>
      </c>
      <c r="F278" s="3">
        <v>5000</v>
      </c>
      <c r="G278" s="3" t="s">
        <v>2</v>
      </c>
    </row>
    <row r="279" spans="1:7" x14ac:dyDescent="0.45">
      <c r="A279" s="3" t="s">
        <v>7</v>
      </c>
      <c r="B279" s="3" t="s">
        <v>4</v>
      </c>
      <c r="C279" s="4">
        <v>432</v>
      </c>
      <c r="D279" s="4">
        <v>145</v>
      </c>
      <c r="E279" s="3">
        <v>208</v>
      </c>
      <c r="F279" s="3">
        <v>4450</v>
      </c>
      <c r="G279" s="3" t="s">
        <v>3</v>
      </c>
    </row>
    <row r="280" spans="1:7" x14ac:dyDescent="0.45">
      <c r="A280" s="3" t="s">
        <v>7</v>
      </c>
      <c r="B280" s="3" t="s">
        <v>4</v>
      </c>
      <c r="C280" s="4">
        <v>504</v>
      </c>
      <c r="D280" s="4">
        <v>153</v>
      </c>
      <c r="E280" s="3">
        <v>224</v>
      </c>
      <c r="F280" s="3">
        <v>5550</v>
      </c>
      <c r="G280" s="3" t="s">
        <v>2</v>
      </c>
    </row>
    <row r="281" spans="1:7" x14ac:dyDescent="0.45">
      <c r="A281" s="3" t="s">
        <v>7</v>
      </c>
      <c r="B281" s="3" t="s">
        <v>4</v>
      </c>
      <c r="C281" s="4">
        <v>453</v>
      </c>
      <c r="D281" s="4">
        <v>138</v>
      </c>
      <c r="E281" s="3">
        <v>208</v>
      </c>
      <c r="F281" s="3">
        <v>4200</v>
      </c>
      <c r="G281" s="3" t="s">
        <v>3</v>
      </c>
    </row>
    <row r="282" spans="1:7" x14ac:dyDescent="0.45">
      <c r="A282" s="3" t="s">
        <v>7</v>
      </c>
      <c r="B282" s="3" t="s">
        <v>4</v>
      </c>
      <c r="C282" s="4">
        <v>462</v>
      </c>
      <c r="D282" s="4">
        <v>149</v>
      </c>
      <c r="E282" s="3">
        <v>221</v>
      </c>
      <c r="F282" s="3">
        <v>5300</v>
      </c>
      <c r="G282" s="3" t="s">
        <v>2</v>
      </c>
    </row>
    <row r="283" spans="1:7" x14ac:dyDescent="0.45">
      <c r="A283" s="3" t="s">
        <v>7</v>
      </c>
      <c r="B283" s="3" t="s">
        <v>4</v>
      </c>
      <c r="C283" s="4">
        <v>457</v>
      </c>
      <c r="D283" s="4">
        <v>139</v>
      </c>
      <c r="E283" s="3">
        <v>214</v>
      </c>
      <c r="F283" s="3">
        <v>4400</v>
      </c>
      <c r="G283" s="3" t="s">
        <v>3</v>
      </c>
    </row>
    <row r="284" spans="1:7" x14ac:dyDescent="0.45">
      <c r="A284" s="3" t="s">
        <v>7</v>
      </c>
      <c r="B284" s="3" t="s">
        <v>4</v>
      </c>
      <c r="C284" s="4">
        <v>543</v>
      </c>
      <c r="D284" s="4">
        <v>157</v>
      </c>
      <c r="E284" s="3">
        <v>231</v>
      </c>
      <c r="F284" s="3">
        <v>5650</v>
      </c>
      <c r="G284" s="3" t="s">
        <v>2</v>
      </c>
    </row>
    <row r="285" spans="1:7" x14ac:dyDescent="0.45">
      <c r="A285" s="3" t="s">
        <v>7</v>
      </c>
      <c r="B285" s="3" t="s">
        <v>4</v>
      </c>
      <c r="C285" s="4">
        <v>458</v>
      </c>
      <c r="D285" s="4">
        <v>142</v>
      </c>
      <c r="E285" s="3">
        <v>219</v>
      </c>
      <c r="F285" s="3">
        <v>4700</v>
      </c>
      <c r="G285" s="3" t="s">
        <v>3</v>
      </c>
    </row>
    <row r="286" spans="1:7" x14ac:dyDescent="0.45">
      <c r="A286" s="3" t="s">
        <v>7</v>
      </c>
      <c r="B286" s="3" t="s">
        <v>4</v>
      </c>
      <c r="C286" s="4">
        <v>498</v>
      </c>
      <c r="D286" s="4">
        <v>168</v>
      </c>
      <c r="E286" s="3">
        <v>230</v>
      </c>
      <c r="F286" s="3">
        <v>5700</v>
      </c>
      <c r="G286" s="3" t="s">
        <v>2</v>
      </c>
    </row>
    <row r="287" spans="1:7" x14ac:dyDescent="0.45">
      <c r="A287" s="3" t="s">
        <v>7</v>
      </c>
      <c r="B287" s="3" t="s">
        <v>4</v>
      </c>
      <c r="C287" s="4">
        <v>462</v>
      </c>
      <c r="D287" s="4">
        <v>144</v>
      </c>
      <c r="E287" s="3">
        <v>214</v>
      </c>
      <c r="F287" s="3">
        <v>4650</v>
      </c>
      <c r="G287" s="3" t="s">
        <v>3</v>
      </c>
    </row>
    <row r="288" spans="1:7" x14ac:dyDescent="0.45">
      <c r="A288" s="3" t="s">
        <v>7</v>
      </c>
      <c r="B288" s="3" t="s">
        <v>4</v>
      </c>
      <c r="C288" s="4">
        <v>495</v>
      </c>
      <c r="D288" s="4">
        <v>162</v>
      </c>
      <c r="E288" s="3">
        <v>229</v>
      </c>
      <c r="F288" s="3">
        <v>5800</v>
      </c>
      <c r="G288" s="3" t="s">
        <v>2</v>
      </c>
    </row>
    <row r="289" spans="1:7" x14ac:dyDescent="0.45">
      <c r="A289" s="3" t="s">
        <v>7</v>
      </c>
      <c r="B289" s="3" t="s">
        <v>4</v>
      </c>
      <c r="C289" s="4">
        <v>435</v>
      </c>
      <c r="D289" s="4">
        <v>142</v>
      </c>
      <c r="E289" s="3">
        <v>220</v>
      </c>
      <c r="F289" s="3">
        <v>4700</v>
      </c>
      <c r="G289" s="3" t="s">
        <v>3</v>
      </c>
    </row>
    <row r="290" spans="1:7" x14ac:dyDescent="0.45">
      <c r="A290" s="3" t="s">
        <v>7</v>
      </c>
      <c r="B290" s="3" t="s">
        <v>4</v>
      </c>
      <c r="C290" s="4">
        <v>507</v>
      </c>
      <c r="D290" s="4">
        <v>150</v>
      </c>
      <c r="E290" s="3">
        <v>223</v>
      </c>
      <c r="F290" s="3">
        <v>5550</v>
      </c>
      <c r="G290" s="3" t="s">
        <v>2</v>
      </c>
    </row>
    <row r="291" spans="1:7" x14ac:dyDescent="0.45">
      <c r="A291" s="3" t="s">
        <v>7</v>
      </c>
      <c r="B291" s="3" t="s">
        <v>4</v>
      </c>
      <c r="C291" s="4">
        <v>477</v>
      </c>
      <c r="D291" s="4">
        <v>150</v>
      </c>
      <c r="E291" s="3">
        <v>216</v>
      </c>
      <c r="F291" s="3">
        <v>4750</v>
      </c>
      <c r="G291" s="3" t="s">
        <v>3</v>
      </c>
    </row>
    <row r="292" spans="1:7" x14ac:dyDescent="0.45">
      <c r="A292" s="3" t="s">
        <v>7</v>
      </c>
      <c r="B292" s="3" t="s">
        <v>4</v>
      </c>
      <c r="C292" s="4">
        <v>464</v>
      </c>
      <c r="D292" s="4">
        <v>156</v>
      </c>
      <c r="E292" s="3">
        <v>221</v>
      </c>
      <c r="F292" s="3">
        <v>5000</v>
      </c>
      <c r="G292" s="3" t="s">
        <v>2</v>
      </c>
    </row>
    <row r="293" spans="1:7" x14ac:dyDescent="0.45">
      <c r="A293" s="3" t="s">
        <v>7</v>
      </c>
      <c r="B293" s="3" t="s">
        <v>4</v>
      </c>
      <c r="C293" s="4">
        <v>482</v>
      </c>
      <c r="D293" s="4">
        <v>156</v>
      </c>
      <c r="E293" s="3">
        <v>221</v>
      </c>
      <c r="F293" s="3">
        <v>5100</v>
      </c>
      <c r="G293" s="3" t="s">
        <v>2</v>
      </c>
    </row>
    <row r="294" spans="1:7" x14ac:dyDescent="0.45">
      <c r="A294" s="3" t="s">
        <v>7</v>
      </c>
      <c r="B294" s="3" t="s">
        <v>4</v>
      </c>
      <c r="C294" s="4">
        <v>465</v>
      </c>
      <c r="D294" s="4">
        <v>148</v>
      </c>
      <c r="E294" s="3">
        <v>217</v>
      </c>
      <c r="F294" s="3">
        <v>5200</v>
      </c>
      <c r="G294" s="3" t="s">
        <v>3</v>
      </c>
    </row>
    <row r="295" spans="1:7" x14ac:dyDescent="0.45">
      <c r="A295" s="3" t="s">
        <v>7</v>
      </c>
      <c r="B295" s="3" t="s">
        <v>4</v>
      </c>
      <c r="C295" s="4">
        <v>464</v>
      </c>
      <c r="D295" s="4">
        <v>150</v>
      </c>
      <c r="E295" s="3">
        <v>216</v>
      </c>
      <c r="F295" s="3">
        <v>4700</v>
      </c>
      <c r="G295" s="3" t="s">
        <v>3</v>
      </c>
    </row>
    <row r="296" spans="1:7" x14ac:dyDescent="0.45">
      <c r="A296" s="3" t="s">
        <v>7</v>
      </c>
      <c r="B296" s="3" t="s">
        <v>4</v>
      </c>
      <c r="C296" s="4">
        <v>486</v>
      </c>
      <c r="D296" s="4">
        <v>160</v>
      </c>
      <c r="E296" s="3">
        <v>230</v>
      </c>
      <c r="F296" s="3">
        <v>5800</v>
      </c>
      <c r="G296" s="3" t="s">
        <v>2</v>
      </c>
    </row>
    <row r="297" spans="1:7" x14ac:dyDescent="0.45">
      <c r="A297" s="3" t="s">
        <v>7</v>
      </c>
      <c r="B297" s="3" t="s">
        <v>4</v>
      </c>
      <c r="C297" s="4">
        <v>475</v>
      </c>
      <c r="D297" s="4">
        <v>142</v>
      </c>
      <c r="E297" s="3">
        <v>209</v>
      </c>
      <c r="F297" s="3">
        <v>4600</v>
      </c>
      <c r="G297" s="3" t="s">
        <v>3</v>
      </c>
    </row>
    <row r="298" spans="1:7" x14ac:dyDescent="0.45">
      <c r="A298" s="3" t="s">
        <v>7</v>
      </c>
      <c r="B298" s="3" t="s">
        <v>4</v>
      </c>
      <c r="C298" s="4">
        <v>511</v>
      </c>
      <c r="D298" s="4">
        <v>163</v>
      </c>
      <c r="E298" s="3">
        <v>220</v>
      </c>
      <c r="F298" s="3">
        <v>6000</v>
      </c>
      <c r="G298" s="3" t="s">
        <v>2</v>
      </c>
    </row>
    <row r="299" spans="1:7" x14ac:dyDescent="0.45">
      <c r="A299" s="3" t="s">
        <v>7</v>
      </c>
      <c r="B299" s="3" t="s">
        <v>4</v>
      </c>
      <c r="C299" s="4">
        <v>452</v>
      </c>
      <c r="D299" s="4">
        <v>138</v>
      </c>
      <c r="E299" s="3">
        <v>215</v>
      </c>
      <c r="F299" s="3">
        <v>4750</v>
      </c>
      <c r="G299" s="3" t="s">
        <v>3</v>
      </c>
    </row>
    <row r="300" spans="1:7" x14ac:dyDescent="0.45">
      <c r="A300" s="3" t="s">
        <v>7</v>
      </c>
      <c r="B300" s="3" t="s">
        <v>4</v>
      </c>
      <c r="C300" s="4">
        <v>452</v>
      </c>
      <c r="D300" s="4">
        <v>164</v>
      </c>
      <c r="E300" s="3">
        <v>223</v>
      </c>
      <c r="F300" s="3">
        <v>5950</v>
      </c>
      <c r="G300" s="3" t="s">
        <v>2</v>
      </c>
    </row>
    <row r="301" spans="1:7" x14ac:dyDescent="0.45">
      <c r="A301" s="3" t="s">
        <v>7</v>
      </c>
      <c r="B301" s="3" t="s">
        <v>4</v>
      </c>
      <c r="C301" s="4">
        <v>491</v>
      </c>
      <c r="D301" s="4">
        <v>145</v>
      </c>
      <c r="E301" s="3">
        <v>212</v>
      </c>
      <c r="F301" s="3">
        <v>4625</v>
      </c>
      <c r="G301" s="3" t="s">
        <v>3</v>
      </c>
    </row>
    <row r="302" spans="1:7" x14ac:dyDescent="0.45">
      <c r="A302" s="3" t="s">
        <v>7</v>
      </c>
      <c r="B302" s="3" t="s">
        <v>4</v>
      </c>
      <c r="C302" s="4">
        <v>525</v>
      </c>
      <c r="D302" s="4">
        <v>156</v>
      </c>
      <c r="E302" s="3">
        <v>221</v>
      </c>
      <c r="F302" s="3">
        <v>5450</v>
      </c>
      <c r="G302" s="3" t="s">
        <v>2</v>
      </c>
    </row>
    <row r="303" spans="1:7" x14ac:dyDescent="0.45">
      <c r="A303" s="3" t="s">
        <v>7</v>
      </c>
      <c r="B303" s="3" t="s">
        <v>4</v>
      </c>
      <c r="C303" s="4">
        <v>474</v>
      </c>
      <c r="D303" s="4">
        <v>146</v>
      </c>
      <c r="E303" s="3">
        <v>212</v>
      </c>
      <c r="F303" s="3">
        <v>4725</v>
      </c>
      <c r="G303" s="3" t="s">
        <v>3</v>
      </c>
    </row>
    <row r="304" spans="1:7" x14ac:dyDescent="0.45">
      <c r="A304" s="3" t="s">
        <v>7</v>
      </c>
      <c r="B304" s="3" t="s">
        <v>4</v>
      </c>
      <c r="C304" s="4">
        <v>500</v>
      </c>
      <c r="D304" s="4">
        <v>159</v>
      </c>
      <c r="E304" s="3">
        <v>224</v>
      </c>
      <c r="F304" s="3">
        <v>5350</v>
      </c>
      <c r="G304" s="3" t="s">
        <v>2</v>
      </c>
    </row>
    <row r="305" spans="1:7" x14ac:dyDescent="0.45">
      <c r="A305" s="3" t="s">
        <v>7</v>
      </c>
      <c r="B305" s="3" t="s">
        <v>4</v>
      </c>
      <c r="C305" s="4">
        <v>449</v>
      </c>
      <c r="D305" s="4">
        <v>138</v>
      </c>
      <c r="E305" s="3">
        <v>212</v>
      </c>
      <c r="F305" s="3">
        <v>4750</v>
      </c>
      <c r="G305" s="3" t="s">
        <v>3</v>
      </c>
    </row>
    <row r="306" spans="1:7" x14ac:dyDescent="0.45">
      <c r="A306" s="3" t="s">
        <v>7</v>
      </c>
      <c r="B306" s="3" t="s">
        <v>4</v>
      </c>
      <c r="C306" s="4">
        <v>508</v>
      </c>
      <c r="D306" s="4">
        <v>173</v>
      </c>
      <c r="E306" s="3">
        <v>228</v>
      </c>
      <c r="F306" s="3">
        <v>5600</v>
      </c>
      <c r="G306" s="3" t="s">
        <v>2</v>
      </c>
    </row>
    <row r="307" spans="1:7" x14ac:dyDescent="0.45">
      <c r="A307" s="3" t="s">
        <v>7</v>
      </c>
      <c r="B307" s="3" t="s">
        <v>4</v>
      </c>
      <c r="C307" s="4">
        <v>434</v>
      </c>
      <c r="D307" s="4">
        <v>144</v>
      </c>
      <c r="E307" s="3">
        <v>218</v>
      </c>
      <c r="F307" s="3">
        <v>4600</v>
      </c>
      <c r="G307" s="3" t="s">
        <v>3</v>
      </c>
    </row>
    <row r="308" spans="1:7" x14ac:dyDescent="0.45">
      <c r="A308" s="3" t="s">
        <v>7</v>
      </c>
      <c r="B308" s="3" t="s">
        <v>4</v>
      </c>
      <c r="C308" s="4">
        <v>513</v>
      </c>
      <c r="D308" s="4">
        <v>142</v>
      </c>
      <c r="E308" s="3">
        <v>218</v>
      </c>
      <c r="F308" s="3">
        <v>5300</v>
      </c>
      <c r="G308" s="3" t="s">
        <v>2</v>
      </c>
    </row>
    <row r="309" spans="1:7" x14ac:dyDescent="0.45">
      <c r="A309" s="3" t="s">
        <v>7</v>
      </c>
      <c r="B309" s="3" t="s">
        <v>4</v>
      </c>
      <c r="C309" s="4">
        <v>475</v>
      </c>
      <c r="D309" s="4">
        <v>140</v>
      </c>
      <c r="E309" s="3">
        <v>212</v>
      </c>
      <c r="F309" s="3">
        <v>4875</v>
      </c>
      <c r="G309" s="3" t="s">
        <v>3</v>
      </c>
    </row>
    <row r="310" spans="1:7" x14ac:dyDescent="0.45">
      <c r="A310" s="3" t="s">
        <v>7</v>
      </c>
      <c r="B310" s="3" t="s">
        <v>4</v>
      </c>
      <c r="C310" s="4">
        <v>521</v>
      </c>
      <c r="D310" s="4">
        <v>170</v>
      </c>
      <c r="E310" s="3">
        <v>230</v>
      </c>
      <c r="F310" s="3">
        <v>5550</v>
      </c>
      <c r="G310" s="3" t="s">
        <v>2</v>
      </c>
    </row>
    <row r="311" spans="1:7" x14ac:dyDescent="0.45">
      <c r="A311" s="3" t="s">
        <v>7</v>
      </c>
      <c r="B311" s="3" t="s">
        <v>4</v>
      </c>
      <c r="C311" s="4">
        <v>475</v>
      </c>
      <c r="D311" s="4">
        <v>150</v>
      </c>
      <c r="E311" s="3">
        <v>218</v>
      </c>
      <c r="F311" s="3">
        <v>4950</v>
      </c>
      <c r="G311" s="3" t="s">
        <v>3</v>
      </c>
    </row>
    <row r="312" spans="1:7" x14ac:dyDescent="0.45">
      <c r="A312" s="3" t="s">
        <v>7</v>
      </c>
      <c r="B312" s="3" t="s">
        <v>4</v>
      </c>
      <c r="C312" s="4">
        <v>522</v>
      </c>
      <c r="D312" s="4">
        <v>171</v>
      </c>
      <c r="E312" s="3">
        <v>228</v>
      </c>
      <c r="F312" s="3">
        <v>5400</v>
      </c>
      <c r="G312" s="3" t="s">
        <v>2</v>
      </c>
    </row>
    <row r="313" spans="1:7" x14ac:dyDescent="0.45">
      <c r="A313" s="3" t="s">
        <v>7</v>
      </c>
      <c r="B313" s="3" t="s">
        <v>4</v>
      </c>
      <c r="C313" s="4">
        <v>455</v>
      </c>
      <c r="D313" s="4">
        <v>145</v>
      </c>
      <c r="E313" s="3">
        <v>212</v>
      </c>
      <c r="F313" s="3">
        <v>4750</v>
      </c>
      <c r="G313" s="3" t="s">
        <v>3</v>
      </c>
    </row>
    <row r="314" spans="1:7" x14ac:dyDescent="0.45">
      <c r="A314" s="3" t="s">
        <v>7</v>
      </c>
      <c r="B314" s="3" t="s">
        <v>4</v>
      </c>
      <c r="C314" s="4">
        <v>495</v>
      </c>
      <c r="D314" s="4">
        <v>161</v>
      </c>
      <c r="E314" s="3">
        <v>224</v>
      </c>
      <c r="F314" s="3">
        <v>5650</v>
      </c>
      <c r="G314" s="3" t="s">
        <v>2</v>
      </c>
    </row>
    <row r="315" spans="1:7" x14ac:dyDescent="0.45">
      <c r="A315" s="3" t="s">
        <v>7</v>
      </c>
      <c r="B315" s="3" t="s">
        <v>4</v>
      </c>
      <c r="C315" s="4">
        <v>445</v>
      </c>
      <c r="D315" s="4">
        <v>147</v>
      </c>
      <c r="E315" s="3">
        <v>214</v>
      </c>
      <c r="F315" s="3">
        <v>4850</v>
      </c>
      <c r="G315" s="3" t="s">
        <v>3</v>
      </c>
    </row>
    <row r="316" spans="1:7" x14ac:dyDescent="0.45">
      <c r="A316" s="3" t="s">
        <v>7</v>
      </c>
      <c r="B316" s="3" t="s">
        <v>4</v>
      </c>
      <c r="C316" s="4">
        <v>508</v>
      </c>
      <c r="D316" s="4">
        <v>157</v>
      </c>
      <c r="E316" s="3">
        <v>226</v>
      </c>
      <c r="F316" s="3">
        <v>5200</v>
      </c>
      <c r="G316" s="3" t="s">
        <v>2</v>
      </c>
    </row>
    <row r="317" spans="1:7" x14ac:dyDescent="0.45">
      <c r="A317" s="3" t="s">
        <v>7</v>
      </c>
      <c r="B317" s="3" t="s">
        <v>4</v>
      </c>
      <c r="C317" s="4">
        <v>494</v>
      </c>
      <c r="D317" s="4">
        <v>158</v>
      </c>
      <c r="E317" s="3">
        <v>216</v>
      </c>
      <c r="F317" s="3">
        <v>4925</v>
      </c>
      <c r="G317" s="3" t="s">
        <v>2</v>
      </c>
    </row>
    <row r="318" spans="1:7" x14ac:dyDescent="0.45">
      <c r="A318" s="3" t="s">
        <v>7</v>
      </c>
      <c r="B318" s="3" t="s">
        <v>4</v>
      </c>
      <c r="C318" s="4">
        <v>469</v>
      </c>
      <c r="D318" s="4">
        <v>146</v>
      </c>
      <c r="E318" s="3">
        <v>222</v>
      </c>
      <c r="F318" s="3">
        <v>4875</v>
      </c>
      <c r="G318" s="3" t="s">
        <v>3</v>
      </c>
    </row>
    <row r="319" spans="1:7" x14ac:dyDescent="0.45">
      <c r="A319" s="3" t="s">
        <v>7</v>
      </c>
      <c r="B319" s="3" t="s">
        <v>4</v>
      </c>
      <c r="C319" s="4">
        <v>484</v>
      </c>
      <c r="D319" s="4">
        <v>144</v>
      </c>
      <c r="E319" s="3">
        <v>203</v>
      </c>
      <c r="F319" s="3">
        <v>4625</v>
      </c>
      <c r="G319" s="3" t="s">
        <v>3</v>
      </c>
    </row>
    <row r="320" spans="1:7" x14ac:dyDescent="0.45">
      <c r="A320" s="3" t="s">
        <v>7</v>
      </c>
      <c r="B320" s="3" t="s">
        <v>4</v>
      </c>
      <c r="C320" s="4">
        <v>511</v>
      </c>
      <c r="D320" s="4">
        <v>165</v>
      </c>
      <c r="E320" s="3">
        <v>225</v>
      </c>
      <c r="F320" s="3">
        <v>5250</v>
      </c>
      <c r="G320" s="3" t="s">
        <v>2</v>
      </c>
    </row>
    <row r="321" spans="1:7" x14ac:dyDescent="0.45">
      <c r="A321" s="3" t="s">
        <v>7</v>
      </c>
      <c r="B321" s="3" t="s">
        <v>4</v>
      </c>
      <c r="C321" s="4">
        <v>485</v>
      </c>
      <c r="D321" s="4">
        <v>150</v>
      </c>
      <c r="E321" s="3">
        <v>219</v>
      </c>
      <c r="F321" s="3">
        <v>4850</v>
      </c>
      <c r="G321" s="3" t="s">
        <v>3</v>
      </c>
    </row>
    <row r="322" spans="1:7" x14ac:dyDescent="0.45">
      <c r="A322" s="3" t="s">
        <v>7</v>
      </c>
      <c r="B322" s="3" t="s">
        <v>4</v>
      </c>
      <c r="C322" s="4">
        <v>559</v>
      </c>
      <c r="D322" s="4">
        <v>170</v>
      </c>
      <c r="E322" s="3">
        <v>228</v>
      </c>
      <c r="F322" s="3">
        <v>5600</v>
      </c>
      <c r="G322" s="3" t="s">
        <v>2</v>
      </c>
    </row>
    <row r="323" spans="1:7" x14ac:dyDescent="0.45">
      <c r="A323" s="3" t="s">
        <v>7</v>
      </c>
      <c r="B323" s="3" t="s">
        <v>4</v>
      </c>
      <c r="C323" s="4">
        <v>472</v>
      </c>
      <c r="D323" s="4">
        <v>155</v>
      </c>
      <c r="E323" s="3">
        <v>215</v>
      </c>
      <c r="F323" s="3">
        <v>4975</v>
      </c>
      <c r="G323" s="3" t="s">
        <v>3</v>
      </c>
    </row>
    <row r="324" spans="1:7" x14ac:dyDescent="0.45">
      <c r="A324" s="3" t="s">
        <v>7</v>
      </c>
      <c r="B324" s="3" t="s">
        <v>4</v>
      </c>
      <c r="C324" s="4">
        <v>491</v>
      </c>
      <c r="D324" s="4">
        <v>150</v>
      </c>
      <c r="E324" s="3">
        <v>228</v>
      </c>
      <c r="F324" s="3">
        <v>5500</v>
      </c>
      <c r="G324" s="3" t="s">
        <v>2</v>
      </c>
    </row>
    <row r="325" spans="1:7" x14ac:dyDescent="0.45">
      <c r="A325" s="3" t="s">
        <v>7</v>
      </c>
      <c r="B325" s="3" t="s">
        <v>4</v>
      </c>
      <c r="C325" s="4">
        <v>473</v>
      </c>
      <c r="D325" s="4">
        <v>138</v>
      </c>
      <c r="E325" s="3">
        <v>216</v>
      </c>
      <c r="F325" s="3">
        <v>4725</v>
      </c>
      <c r="G325" s="3" t="s">
        <v>2</v>
      </c>
    </row>
    <row r="326" spans="1:7" x14ac:dyDescent="0.45">
      <c r="A326" s="3" t="s">
        <v>7</v>
      </c>
      <c r="B326" s="3" t="s">
        <v>4</v>
      </c>
      <c r="C326" s="4">
        <v>468</v>
      </c>
      <c r="D326" s="4">
        <v>161</v>
      </c>
      <c r="E326" s="3">
        <v>215</v>
      </c>
      <c r="F326" s="3">
        <v>5500</v>
      </c>
      <c r="G326" s="3" t="s">
        <v>2</v>
      </c>
    </row>
    <row r="327" spans="1:7" x14ac:dyDescent="0.45">
      <c r="A327" s="3" t="s">
        <v>7</v>
      </c>
      <c r="B327" s="3" t="s">
        <v>4</v>
      </c>
      <c r="C327" s="4">
        <v>417</v>
      </c>
      <c r="D327" s="4">
        <v>147</v>
      </c>
      <c r="E327" s="3">
        <v>210</v>
      </c>
      <c r="F327" s="3">
        <v>4700</v>
      </c>
      <c r="G327" s="3" t="s">
        <v>3</v>
      </c>
    </row>
    <row r="328" spans="1:7" x14ac:dyDescent="0.45">
      <c r="A328" s="3" t="s">
        <v>7</v>
      </c>
      <c r="B328" s="3" t="s">
        <v>4</v>
      </c>
      <c r="C328" s="4">
        <v>534</v>
      </c>
      <c r="D328" s="4">
        <v>158</v>
      </c>
      <c r="E328" s="3">
        <v>219</v>
      </c>
      <c r="F328" s="3">
        <v>5500</v>
      </c>
      <c r="G328" s="3" t="s">
        <v>2</v>
      </c>
    </row>
    <row r="329" spans="1:7" x14ac:dyDescent="0.45">
      <c r="A329" s="3" t="s">
        <v>7</v>
      </c>
      <c r="B329" s="3" t="s">
        <v>4</v>
      </c>
      <c r="C329" s="4">
        <v>433</v>
      </c>
      <c r="D329" s="4">
        <v>140</v>
      </c>
      <c r="E329" s="3">
        <v>208</v>
      </c>
      <c r="F329" s="3">
        <v>4575</v>
      </c>
      <c r="G329" s="3" t="s">
        <v>3</v>
      </c>
    </row>
    <row r="330" spans="1:7" x14ac:dyDescent="0.45">
      <c r="A330" s="3" t="s">
        <v>7</v>
      </c>
      <c r="B330" s="3" t="s">
        <v>4</v>
      </c>
      <c r="C330" s="4">
        <v>481</v>
      </c>
      <c r="D330" s="4">
        <v>151</v>
      </c>
      <c r="E330" s="3">
        <v>209</v>
      </c>
      <c r="F330" s="3">
        <v>5500</v>
      </c>
      <c r="G330" s="3" t="s">
        <v>2</v>
      </c>
    </row>
    <row r="331" spans="1:7" x14ac:dyDescent="0.45">
      <c r="A331" s="3" t="s">
        <v>7</v>
      </c>
      <c r="B331" s="3" t="s">
        <v>4</v>
      </c>
      <c r="C331" s="4">
        <v>505</v>
      </c>
      <c r="D331" s="4">
        <v>152</v>
      </c>
      <c r="E331" s="3">
        <v>216</v>
      </c>
      <c r="F331" s="3">
        <v>5000</v>
      </c>
      <c r="G331" s="3" t="s">
        <v>3</v>
      </c>
    </row>
    <row r="332" spans="1:7" x14ac:dyDescent="0.45">
      <c r="A332" s="3" t="s">
        <v>7</v>
      </c>
      <c r="B332" s="3" t="s">
        <v>4</v>
      </c>
      <c r="C332" s="4">
        <v>498</v>
      </c>
      <c r="D332" s="4">
        <v>159</v>
      </c>
      <c r="E332" s="3">
        <v>229</v>
      </c>
      <c r="F332" s="3">
        <v>5950</v>
      </c>
      <c r="G332" s="3" t="s">
        <v>2</v>
      </c>
    </row>
    <row r="333" spans="1:7" x14ac:dyDescent="0.45">
      <c r="A333" s="3" t="s">
        <v>7</v>
      </c>
      <c r="B333" s="3" t="s">
        <v>4</v>
      </c>
      <c r="C333" s="4">
        <v>435</v>
      </c>
      <c r="D333" s="4">
        <v>152</v>
      </c>
      <c r="E333" s="3">
        <v>213</v>
      </c>
      <c r="F333" s="3">
        <v>4650</v>
      </c>
      <c r="G333" s="3" t="s">
        <v>3</v>
      </c>
    </row>
    <row r="334" spans="1:7" x14ac:dyDescent="0.45">
      <c r="A334" s="3" t="s">
        <v>7</v>
      </c>
      <c r="B334" s="3" t="s">
        <v>4</v>
      </c>
      <c r="C334" s="4">
        <v>515</v>
      </c>
      <c r="D334" s="4">
        <v>163</v>
      </c>
      <c r="E334" s="3">
        <v>230</v>
      </c>
      <c r="F334" s="3">
        <v>5500</v>
      </c>
      <c r="G334" s="3" t="s">
        <v>2</v>
      </c>
    </row>
    <row r="335" spans="1:7" x14ac:dyDescent="0.45">
      <c r="A335" s="3" t="s">
        <v>7</v>
      </c>
      <c r="B335" s="3" t="s">
        <v>4</v>
      </c>
      <c r="C335" s="4">
        <v>462</v>
      </c>
      <c r="D335" s="4">
        <v>141</v>
      </c>
      <c r="E335" s="3">
        <v>217</v>
      </c>
      <c r="F335" s="3">
        <v>4375</v>
      </c>
      <c r="G335" s="3" t="s">
        <v>3</v>
      </c>
    </row>
    <row r="336" spans="1:7" x14ac:dyDescent="0.45">
      <c r="A336" s="3" t="s">
        <v>7</v>
      </c>
      <c r="B336" s="3" t="s">
        <v>4</v>
      </c>
      <c r="C336" s="4">
        <v>551</v>
      </c>
      <c r="D336" s="4">
        <v>160</v>
      </c>
      <c r="E336" s="3">
        <v>230</v>
      </c>
      <c r="F336" s="3">
        <v>5850</v>
      </c>
      <c r="G336" s="3" t="s">
        <v>2</v>
      </c>
    </row>
    <row r="337" spans="1:7" x14ac:dyDescent="0.45">
      <c r="A337" s="3" t="s">
        <v>7</v>
      </c>
      <c r="B337" s="3" t="s">
        <v>4</v>
      </c>
      <c r="C337" s="4">
        <v>445</v>
      </c>
      <c r="D337" s="4">
        <v>157</v>
      </c>
      <c r="E337" s="3">
        <v>217</v>
      </c>
      <c r="F337" s="3">
        <v>4875</v>
      </c>
      <c r="G337" s="3" t="s">
        <v>2</v>
      </c>
    </row>
    <row r="338" spans="1:7" x14ac:dyDescent="0.45">
      <c r="A338" s="3" t="s">
        <v>7</v>
      </c>
      <c r="B338" s="3" t="s">
        <v>4</v>
      </c>
      <c r="C338" s="4">
        <v>488</v>
      </c>
      <c r="D338" s="4">
        <v>162</v>
      </c>
      <c r="E338" s="3">
        <v>222</v>
      </c>
      <c r="F338" s="3">
        <v>6000</v>
      </c>
      <c r="G338" s="3" t="s">
        <v>2</v>
      </c>
    </row>
    <row r="339" spans="1:7" x14ac:dyDescent="0.45">
      <c r="A339" s="3" t="s">
        <v>7</v>
      </c>
      <c r="B339" s="3" t="s">
        <v>4</v>
      </c>
      <c r="C339" s="4">
        <v>472</v>
      </c>
      <c r="D339" s="4">
        <v>137</v>
      </c>
      <c r="E339" s="3">
        <v>214</v>
      </c>
      <c r="F339" s="3">
        <v>4925</v>
      </c>
      <c r="G339" s="3" t="s">
        <v>3</v>
      </c>
    </row>
    <row r="340" spans="1:7" x14ac:dyDescent="0.45">
      <c r="A340" s="3" t="s">
        <v>7</v>
      </c>
      <c r="B340" s="3" t="s">
        <v>4</v>
      </c>
      <c r="C340" s="4">
        <v>468</v>
      </c>
      <c r="D340" s="4">
        <v>143</v>
      </c>
      <c r="E340" s="3">
        <v>215</v>
      </c>
      <c r="F340" s="3">
        <v>4850</v>
      </c>
      <c r="G340" s="3" t="s">
        <v>3</v>
      </c>
    </row>
    <row r="341" spans="1:7" x14ac:dyDescent="0.45">
      <c r="A341" s="3" t="s">
        <v>7</v>
      </c>
      <c r="B341" s="3" t="s">
        <v>4</v>
      </c>
      <c r="C341" s="4">
        <v>504</v>
      </c>
      <c r="D341" s="4">
        <v>157</v>
      </c>
      <c r="E341" s="3">
        <v>222</v>
      </c>
      <c r="F341" s="3">
        <v>5750</v>
      </c>
      <c r="G341" s="3" t="s">
        <v>2</v>
      </c>
    </row>
    <row r="342" spans="1:7" x14ac:dyDescent="0.45">
      <c r="A342" s="3" t="s">
        <v>7</v>
      </c>
      <c r="B342" s="3" t="s">
        <v>4</v>
      </c>
      <c r="C342" s="4">
        <v>452</v>
      </c>
      <c r="D342" s="4">
        <v>148</v>
      </c>
      <c r="E342" s="3">
        <v>212</v>
      </c>
      <c r="F342" s="3">
        <v>5200</v>
      </c>
      <c r="G342" s="3" t="s">
        <v>3</v>
      </c>
    </row>
    <row r="343" spans="1:7" x14ac:dyDescent="0.45">
      <c r="A343" s="3" t="s">
        <v>7</v>
      </c>
      <c r="B343" s="3" t="s">
        <v>4</v>
      </c>
      <c r="C343" s="4">
        <v>499</v>
      </c>
      <c r="D343" s="4">
        <v>161</v>
      </c>
      <c r="E343" s="3">
        <v>213</v>
      </c>
      <c r="F343" s="3">
        <v>5400</v>
      </c>
      <c r="G343" s="3" t="s"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832A-3F7B-4AD8-8ECB-5583BE07D311}">
  <dimension ref="A1:G343"/>
  <sheetViews>
    <sheetView topLeftCell="D1" workbookViewId="0"/>
  </sheetViews>
  <sheetFormatPr defaultColWidth="10.86328125" defaultRowHeight="14.25" x14ac:dyDescent="0.45"/>
  <cols>
    <col min="1" max="1" width="9.3984375" bestFit="1" customWidth="1"/>
    <col min="2" max="2" width="9.86328125" bestFit="1" customWidth="1"/>
    <col min="3" max="3" width="20.59765625" bestFit="1" customWidth="1"/>
    <col min="4" max="4" width="18.3984375" bestFit="1" customWidth="1"/>
    <col min="5" max="5" width="16.86328125" bestFit="1" customWidth="1"/>
    <col min="6" max="6" width="14.86328125" bestFit="1" customWidth="1"/>
    <col min="7" max="7" width="7.86328125" bestFit="1" customWidth="1"/>
  </cols>
  <sheetData>
    <row r="1" spans="1:7" x14ac:dyDescent="0.45">
      <c r="A1" t="s">
        <v>10</v>
      </c>
      <c r="B1" t="s">
        <v>11</v>
      </c>
      <c r="C1" t="s">
        <v>12</v>
      </c>
      <c r="D1" t="s">
        <v>13</v>
      </c>
      <c r="E1" t="s">
        <v>16</v>
      </c>
      <c r="F1" t="s">
        <v>14</v>
      </c>
      <c r="G1" t="s">
        <v>15</v>
      </c>
    </row>
    <row r="2" spans="1:7" x14ac:dyDescent="0.45">
      <c r="A2" s="3" t="s">
        <v>0</v>
      </c>
      <c r="B2" s="3" t="s">
        <v>1</v>
      </c>
      <c r="C2" s="4">
        <v>391</v>
      </c>
      <c r="D2" s="4">
        <v>187</v>
      </c>
      <c r="E2" s="3">
        <v>181</v>
      </c>
      <c r="F2" s="3">
        <v>3750</v>
      </c>
      <c r="G2" s="3" t="s">
        <v>2</v>
      </c>
    </row>
    <row r="3" spans="1:7" x14ac:dyDescent="0.45">
      <c r="A3" s="3" t="s">
        <v>0</v>
      </c>
      <c r="B3" s="3" t="s">
        <v>1</v>
      </c>
      <c r="C3" s="4">
        <v>395</v>
      </c>
      <c r="D3" s="4">
        <v>174</v>
      </c>
      <c r="E3" s="3">
        <v>186</v>
      </c>
      <c r="F3" s="3">
        <v>3800</v>
      </c>
      <c r="G3" s="3" t="s">
        <v>3</v>
      </c>
    </row>
    <row r="4" spans="1:7" x14ac:dyDescent="0.45">
      <c r="A4" s="3" t="s">
        <v>0</v>
      </c>
      <c r="B4" s="3" t="s">
        <v>1</v>
      </c>
      <c r="C4" s="4">
        <v>403</v>
      </c>
      <c r="D4" s="4">
        <v>180</v>
      </c>
      <c r="E4" s="3">
        <v>195</v>
      </c>
      <c r="F4" s="3">
        <v>3250</v>
      </c>
      <c r="G4" s="3" t="s">
        <v>3</v>
      </c>
    </row>
    <row r="5" spans="1:7" x14ac:dyDescent="0.45">
      <c r="A5" s="3" t="s">
        <v>0</v>
      </c>
      <c r="B5" s="3" t="s">
        <v>1</v>
      </c>
      <c r="C5" s="4">
        <v>367</v>
      </c>
      <c r="D5" s="4">
        <v>193</v>
      </c>
      <c r="E5" s="3">
        <v>193</v>
      </c>
      <c r="F5" s="3">
        <v>3450</v>
      </c>
      <c r="G5" s="3" t="s">
        <v>3</v>
      </c>
    </row>
    <row r="6" spans="1:7" x14ac:dyDescent="0.45">
      <c r="A6" s="3" t="s">
        <v>0</v>
      </c>
      <c r="B6" s="3" t="s">
        <v>1</v>
      </c>
      <c r="C6" s="4">
        <v>393</v>
      </c>
      <c r="D6" s="4">
        <v>206</v>
      </c>
      <c r="E6" s="3">
        <v>190</v>
      </c>
      <c r="F6" s="3">
        <v>3650</v>
      </c>
      <c r="G6" s="3" t="s">
        <v>2</v>
      </c>
    </row>
    <row r="7" spans="1:7" x14ac:dyDescent="0.45">
      <c r="A7" s="3" t="s">
        <v>0</v>
      </c>
      <c r="B7" s="3" t="s">
        <v>1</v>
      </c>
      <c r="C7" s="4">
        <v>389</v>
      </c>
      <c r="D7" s="4">
        <v>178</v>
      </c>
      <c r="E7" s="3">
        <v>181</v>
      </c>
      <c r="F7" s="3">
        <v>3625</v>
      </c>
      <c r="G7" s="3" t="s">
        <v>3</v>
      </c>
    </row>
    <row r="8" spans="1:7" x14ac:dyDescent="0.45">
      <c r="A8" s="3" t="s">
        <v>0</v>
      </c>
      <c r="B8" s="3" t="s">
        <v>1</v>
      </c>
      <c r="C8" s="4">
        <v>392</v>
      </c>
      <c r="D8" s="4">
        <v>196</v>
      </c>
      <c r="E8" s="3">
        <v>195</v>
      </c>
      <c r="F8" s="3">
        <v>4675</v>
      </c>
      <c r="G8" s="3" t="s">
        <v>2</v>
      </c>
    </row>
    <row r="9" spans="1:7" x14ac:dyDescent="0.45">
      <c r="A9" s="3" t="s">
        <v>0</v>
      </c>
      <c r="B9" s="3" t="s">
        <v>1</v>
      </c>
      <c r="C9" s="4">
        <v>341</v>
      </c>
      <c r="D9" s="4">
        <v>181</v>
      </c>
      <c r="E9" s="3">
        <v>193</v>
      </c>
      <c r="F9" s="3">
        <v>3475</v>
      </c>
      <c r="G9" s="3" t="s">
        <v>2</v>
      </c>
    </row>
    <row r="10" spans="1:7" x14ac:dyDescent="0.45">
      <c r="A10" s="3" t="s">
        <v>0</v>
      </c>
      <c r="B10" s="3" t="s">
        <v>1</v>
      </c>
      <c r="C10" s="4">
        <v>420</v>
      </c>
      <c r="D10" s="4">
        <v>202</v>
      </c>
      <c r="E10" s="3">
        <v>190</v>
      </c>
      <c r="F10" s="3">
        <v>4250</v>
      </c>
      <c r="G10" s="3" t="s">
        <v>2</v>
      </c>
    </row>
    <row r="11" spans="1:7" x14ac:dyDescent="0.45">
      <c r="A11" s="3" t="s">
        <v>0</v>
      </c>
      <c r="B11" s="3" t="s">
        <v>1</v>
      </c>
      <c r="C11" s="4">
        <v>378</v>
      </c>
      <c r="D11" s="4">
        <v>171</v>
      </c>
      <c r="E11" s="3">
        <v>186</v>
      </c>
      <c r="F11" s="3">
        <v>3300</v>
      </c>
      <c r="G11" s="3" t="s">
        <v>2</v>
      </c>
    </row>
    <row r="12" spans="1:7" x14ac:dyDescent="0.45">
      <c r="A12" s="3" t="s">
        <v>0</v>
      </c>
      <c r="B12" s="3" t="s">
        <v>1</v>
      </c>
      <c r="C12" s="4">
        <v>378</v>
      </c>
      <c r="D12" s="4">
        <v>173</v>
      </c>
      <c r="E12" s="3">
        <v>180</v>
      </c>
      <c r="F12" s="3">
        <v>3700</v>
      </c>
      <c r="G12" s="3" t="s">
        <v>2</v>
      </c>
    </row>
    <row r="13" spans="1:7" x14ac:dyDescent="0.45">
      <c r="A13" s="3" t="s">
        <v>0</v>
      </c>
      <c r="B13" s="3" t="s">
        <v>1</v>
      </c>
      <c r="C13" s="4">
        <v>411</v>
      </c>
      <c r="D13" s="4">
        <v>176</v>
      </c>
      <c r="E13" s="3">
        <v>182</v>
      </c>
      <c r="F13" s="3">
        <v>3200</v>
      </c>
      <c r="G13" s="3" t="s">
        <v>3</v>
      </c>
    </row>
    <row r="14" spans="1:7" x14ac:dyDescent="0.45">
      <c r="A14" s="3" t="s">
        <v>0</v>
      </c>
      <c r="B14" s="3" t="s">
        <v>1</v>
      </c>
      <c r="C14" s="4">
        <v>386</v>
      </c>
      <c r="D14" s="4">
        <v>212</v>
      </c>
      <c r="E14" s="3">
        <v>191</v>
      </c>
      <c r="F14" s="3">
        <v>3800</v>
      </c>
      <c r="G14" s="3" t="s">
        <v>2</v>
      </c>
    </row>
    <row r="15" spans="1:7" x14ac:dyDescent="0.45">
      <c r="A15" s="3" t="s">
        <v>0</v>
      </c>
      <c r="B15" s="3" t="s">
        <v>1</v>
      </c>
      <c r="C15" s="4">
        <v>346</v>
      </c>
      <c r="D15" s="4">
        <v>211</v>
      </c>
      <c r="E15" s="3">
        <v>198</v>
      </c>
      <c r="F15" s="3">
        <v>4400</v>
      </c>
      <c r="G15" s="3" t="s">
        <v>2</v>
      </c>
    </row>
    <row r="16" spans="1:7" x14ac:dyDescent="0.45">
      <c r="A16" s="3" t="s">
        <v>0</v>
      </c>
      <c r="B16" s="3" t="s">
        <v>1</v>
      </c>
      <c r="C16" s="4">
        <v>366</v>
      </c>
      <c r="D16" s="4">
        <v>178</v>
      </c>
      <c r="E16" s="3">
        <v>185</v>
      </c>
      <c r="F16" s="3">
        <v>3700</v>
      </c>
      <c r="G16" s="3" t="s">
        <v>3</v>
      </c>
    </row>
    <row r="17" spans="1:7" x14ac:dyDescent="0.45">
      <c r="A17" s="3" t="s">
        <v>0</v>
      </c>
      <c r="B17" s="3" t="s">
        <v>1</v>
      </c>
      <c r="C17" s="4">
        <v>387</v>
      </c>
      <c r="D17" s="4">
        <v>190</v>
      </c>
      <c r="E17" s="3">
        <v>195</v>
      </c>
      <c r="F17" s="3">
        <v>3450</v>
      </c>
      <c r="G17" s="3" t="s">
        <v>3</v>
      </c>
    </row>
    <row r="18" spans="1:7" x14ac:dyDescent="0.45">
      <c r="A18" s="3" t="s">
        <v>0</v>
      </c>
      <c r="B18" s="3" t="s">
        <v>1</v>
      </c>
      <c r="C18" s="4">
        <v>425</v>
      </c>
      <c r="D18" s="4">
        <v>207</v>
      </c>
      <c r="E18" s="3">
        <v>197</v>
      </c>
      <c r="F18" s="3">
        <v>4500</v>
      </c>
      <c r="G18" s="3" t="s">
        <v>2</v>
      </c>
    </row>
    <row r="19" spans="1:7" x14ac:dyDescent="0.45">
      <c r="A19" s="3" t="s">
        <v>0</v>
      </c>
      <c r="B19" s="3" t="s">
        <v>1</v>
      </c>
      <c r="C19" s="4">
        <v>344</v>
      </c>
      <c r="D19" s="4">
        <v>184</v>
      </c>
      <c r="E19" s="3">
        <v>184</v>
      </c>
      <c r="F19" s="3">
        <v>3325</v>
      </c>
      <c r="G19" s="3" t="s">
        <v>3</v>
      </c>
    </row>
    <row r="20" spans="1:7" x14ac:dyDescent="0.45">
      <c r="A20" s="3" t="s">
        <v>0</v>
      </c>
      <c r="B20" s="3" t="s">
        <v>1</v>
      </c>
      <c r="C20" s="4">
        <v>460</v>
      </c>
      <c r="D20" s="4">
        <v>215</v>
      </c>
      <c r="E20" s="3">
        <v>194</v>
      </c>
      <c r="F20" s="3">
        <v>4200</v>
      </c>
      <c r="G20" s="3" t="s">
        <v>2</v>
      </c>
    </row>
    <row r="21" spans="1:7" x14ac:dyDescent="0.45">
      <c r="A21" s="3" t="s">
        <v>0</v>
      </c>
      <c r="B21" s="3" t="s">
        <v>4</v>
      </c>
      <c r="C21" s="4">
        <v>378</v>
      </c>
      <c r="D21" s="4">
        <v>183</v>
      </c>
      <c r="E21" s="3">
        <v>174</v>
      </c>
      <c r="F21" s="3">
        <v>3400</v>
      </c>
      <c r="G21" s="3" t="s">
        <v>3</v>
      </c>
    </row>
    <row r="22" spans="1:7" x14ac:dyDescent="0.45">
      <c r="A22" s="3" t="s">
        <v>0</v>
      </c>
      <c r="B22" s="3" t="s">
        <v>4</v>
      </c>
      <c r="C22" s="4">
        <v>377</v>
      </c>
      <c r="D22" s="4">
        <v>187</v>
      </c>
      <c r="E22" s="3">
        <v>180</v>
      </c>
      <c r="F22" s="3">
        <v>3600</v>
      </c>
      <c r="G22" s="3" t="s">
        <v>2</v>
      </c>
    </row>
    <row r="23" spans="1:7" x14ac:dyDescent="0.45">
      <c r="A23" s="3" t="s">
        <v>0</v>
      </c>
      <c r="B23" s="3" t="s">
        <v>4</v>
      </c>
      <c r="C23" s="4">
        <v>359</v>
      </c>
      <c r="D23" s="4">
        <v>192</v>
      </c>
      <c r="E23" s="3">
        <v>189</v>
      </c>
      <c r="F23" s="3">
        <v>3800</v>
      </c>
      <c r="G23" s="3" t="s">
        <v>3</v>
      </c>
    </row>
    <row r="24" spans="1:7" x14ac:dyDescent="0.45">
      <c r="A24" s="3" t="s">
        <v>0</v>
      </c>
      <c r="B24" s="3" t="s">
        <v>4</v>
      </c>
      <c r="C24" s="4">
        <v>382</v>
      </c>
      <c r="D24" s="4">
        <v>181</v>
      </c>
      <c r="E24" s="3">
        <v>185</v>
      </c>
      <c r="F24" s="3">
        <v>3950</v>
      </c>
      <c r="G24" s="3" t="s">
        <v>2</v>
      </c>
    </row>
    <row r="25" spans="1:7" x14ac:dyDescent="0.45">
      <c r="A25" s="3" t="s">
        <v>0</v>
      </c>
      <c r="B25" s="3" t="s">
        <v>4</v>
      </c>
      <c r="C25" s="4">
        <v>388</v>
      </c>
      <c r="D25" s="4">
        <v>172</v>
      </c>
      <c r="E25" s="3">
        <v>180</v>
      </c>
      <c r="F25" s="3">
        <v>3800</v>
      </c>
      <c r="G25" s="3" t="s">
        <v>2</v>
      </c>
    </row>
    <row r="26" spans="1:7" x14ac:dyDescent="0.45">
      <c r="A26" s="3" t="s">
        <v>0</v>
      </c>
      <c r="B26" s="3" t="s">
        <v>4</v>
      </c>
      <c r="C26" s="4">
        <v>353</v>
      </c>
      <c r="D26" s="4">
        <v>189</v>
      </c>
      <c r="E26" s="3">
        <v>187</v>
      </c>
      <c r="F26" s="3">
        <v>3800</v>
      </c>
      <c r="G26" s="3" t="s">
        <v>3</v>
      </c>
    </row>
    <row r="27" spans="1:7" x14ac:dyDescent="0.45">
      <c r="A27" s="3" t="s">
        <v>0</v>
      </c>
      <c r="B27" s="3" t="s">
        <v>4</v>
      </c>
      <c r="C27" s="4">
        <v>406</v>
      </c>
      <c r="D27" s="4">
        <v>186</v>
      </c>
      <c r="E27" s="3">
        <v>183</v>
      </c>
      <c r="F27" s="3">
        <v>3550</v>
      </c>
      <c r="G27" s="3" t="s">
        <v>2</v>
      </c>
    </row>
    <row r="28" spans="1:7" x14ac:dyDescent="0.45">
      <c r="A28" s="3" t="s">
        <v>0</v>
      </c>
      <c r="B28" s="3" t="s">
        <v>4</v>
      </c>
      <c r="C28" s="4">
        <v>405</v>
      </c>
      <c r="D28" s="4">
        <v>179</v>
      </c>
      <c r="E28" s="3">
        <v>187</v>
      </c>
      <c r="F28" s="3">
        <v>3200</v>
      </c>
      <c r="G28" s="3" t="s">
        <v>3</v>
      </c>
    </row>
    <row r="29" spans="1:7" x14ac:dyDescent="0.45">
      <c r="A29" s="3" t="s">
        <v>0</v>
      </c>
      <c r="B29" s="3" t="s">
        <v>4</v>
      </c>
      <c r="C29" s="4">
        <v>379</v>
      </c>
      <c r="D29" s="4">
        <v>186</v>
      </c>
      <c r="E29" s="3">
        <v>172</v>
      </c>
      <c r="F29" s="3">
        <v>3150</v>
      </c>
      <c r="G29" s="3" t="s">
        <v>3</v>
      </c>
    </row>
    <row r="30" spans="1:7" x14ac:dyDescent="0.45">
      <c r="A30" s="3" t="s">
        <v>0</v>
      </c>
      <c r="B30" s="3" t="s">
        <v>4</v>
      </c>
      <c r="C30" s="4">
        <v>405</v>
      </c>
      <c r="D30" s="4">
        <v>189</v>
      </c>
      <c r="E30" s="3">
        <v>180</v>
      </c>
      <c r="F30" s="3">
        <v>3950</v>
      </c>
      <c r="G30" s="3" t="s">
        <v>2</v>
      </c>
    </row>
    <row r="31" spans="1:7" x14ac:dyDescent="0.45">
      <c r="A31" s="3" t="s">
        <v>0</v>
      </c>
      <c r="B31" s="3" t="s">
        <v>5</v>
      </c>
      <c r="C31" s="4">
        <v>395</v>
      </c>
      <c r="D31" s="4">
        <v>167</v>
      </c>
      <c r="E31" s="3">
        <v>178</v>
      </c>
      <c r="F31" s="3">
        <v>3250</v>
      </c>
      <c r="G31" s="3" t="s">
        <v>3</v>
      </c>
    </row>
    <row r="32" spans="1:7" x14ac:dyDescent="0.45">
      <c r="A32" s="3" t="s">
        <v>0</v>
      </c>
      <c r="B32" s="3" t="s">
        <v>5</v>
      </c>
      <c r="C32" s="4">
        <v>372</v>
      </c>
      <c r="D32" s="4">
        <v>181</v>
      </c>
      <c r="E32" s="3">
        <v>178</v>
      </c>
      <c r="F32" s="3">
        <v>3900</v>
      </c>
      <c r="G32" s="3" t="s">
        <v>2</v>
      </c>
    </row>
    <row r="33" spans="1:7" x14ac:dyDescent="0.45">
      <c r="A33" s="3" t="s">
        <v>0</v>
      </c>
      <c r="B33" s="3" t="s">
        <v>5</v>
      </c>
      <c r="C33" s="4">
        <v>395</v>
      </c>
      <c r="D33" s="4">
        <v>178</v>
      </c>
      <c r="E33" s="3">
        <v>188</v>
      </c>
      <c r="F33" s="3">
        <v>3300</v>
      </c>
      <c r="G33" s="3" t="s">
        <v>3</v>
      </c>
    </row>
    <row r="34" spans="1:7" x14ac:dyDescent="0.45">
      <c r="A34" s="3" t="s">
        <v>0</v>
      </c>
      <c r="B34" s="3" t="s">
        <v>5</v>
      </c>
      <c r="C34" s="4">
        <v>409</v>
      </c>
      <c r="D34" s="4">
        <v>189</v>
      </c>
      <c r="E34" s="3">
        <v>184</v>
      </c>
      <c r="F34" s="3">
        <v>3900</v>
      </c>
      <c r="G34" s="3" t="s">
        <v>2</v>
      </c>
    </row>
    <row r="35" spans="1:7" x14ac:dyDescent="0.45">
      <c r="A35" s="3" t="s">
        <v>0</v>
      </c>
      <c r="B35" s="3" t="s">
        <v>5</v>
      </c>
      <c r="C35" s="4">
        <v>364</v>
      </c>
      <c r="D35" s="4">
        <v>170</v>
      </c>
      <c r="E35" s="3">
        <v>195</v>
      </c>
      <c r="F35" s="3">
        <v>3325</v>
      </c>
      <c r="G35" s="3" t="s">
        <v>3</v>
      </c>
    </row>
    <row r="36" spans="1:7" x14ac:dyDescent="0.45">
      <c r="A36" s="3" t="s">
        <v>0</v>
      </c>
      <c r="B36" s="3" t="s">
        <v>5</v>
      </c>
      <c r="C36" s="4">
        <v>392</v>
      </c>
      <c r="D36" s="4">
        <v>211</v>
      </c>
      <c r="E36" s="3">
        <v>196</v>
      </c>
      <c r="F36" s="3">
        <v>4150</v>
      </c>
      <c r="G36" s="3" t="s">
        <v>2</v>
      </c>
    </row>
    <row r="37" spans="1:7" x14ac:dyDescent="0.45">
      <c r="A37" s="3" t="s">
        <v>0</v>
      </c>
      <c r="B37" s="3" t="s">
        <v>5</v>
      </c>
      <c r="C37" s="4">
        <v>388</v>
      </c>
      <c r="D37" s="4">
        <v>200</v>
      </c>
      <c r="E37" s="3">
        <v>190</v>
      </c>
      <c r="F37" s="3">
        <v>3950</v>
      </c>
      <c r="G37" s="3" t="s">
        <v>2</v>
      </c>
    </row>
    <row r="38" spans="1:7" x14ac:dyDescent="0.45">
      <c r="A38" s="3" t="s">
        <v>0</v>
      </c>
      <c r="B38" s="3" t="s">
        <v>5</v>
      </c>
      <c r="C38" s="4">
        <v>422</v>
      </c>
      <c r="D38" s="4">
        <v>185</v>
      </c>
      <c r="E38" s="3">
        <v>180</v>
      </c>
      <c r="F38" s="3">
        <v>3550</v>
      </c>
      <c r="G38" s="3" t="s">
        <v>3</v>
      </c>
    </row>
    <row r="39" spans="1:7" x14ac:dyDescent="0.45">
      <c r="A39" s="3" t="s">
        <v>0</v>
      </c>
      <c r="B39" s="3" t="s">
        <v>5</v>
      </c>
      <c r="C39" s="4">
        <v>376</v>
      </c>
      <c r="D39" s="4">
        <v>193</v>
      </c>
      <c r="E39" s="3">
        <v>181</v>
      </c>
      <c r="F39" s="3">
        <v>3300</v>
      </c>
      <c r="G39" s="3" t="s">
        <v>3</v>
      </c>
    </row>
    <row r="40" spans="1:7" x14ac:dyDescent="0.45">
      <c r="A40" s="3" t="s">
        <v>0</v>
      </c>
      <c r="B40" s="3" t="s">
        <v>5</v>
      </c>
      <c r="C40" s="4">
        <v>398</v>
      </c>
      <c r="D40" s="4">
        <v>191</v>
      </c>
      <c r="E40" s="3">
        <v>184</v>
      </c>
      <c r="F40" s="3">
        <v>4650</v>
      </c>
      <c r="G40" s="3" t="s">
        <v>2</v>
      </c>
    </row>
    <row r="41" spans="1:7" x14ac:dyDescent="0.45">
      <c r="A41" s="3" t="s">
        <v>0</v>
      </c>
      <c r="B41" s="3" t="s">
        <v>5</v>
      </c>
      <c r="C41" s="4">
        <v>365</v>
      </c>
      <c r="D41" s="4">
        <v>180</v>
      </c>
      <c r="E41" s="3">
        <v>182</v>
      </c>
      <c r="F41" s="3">
        <v>3150</v>
      </c>
      <c r="G41" s="3" t="s">
        <v>3</v>
      </c>
    </row>
    <row r="42" spans="1:7" x14ac:dyDescent="0.45">
      <c r="A42" s="3" t="s">
        <v>0</v>
      </c>
      <c r="B42" s="3" t="s">
        <v>5</v>
      </c>
      <c r="C42" s="4">
        <v>408</v>
      </c>
      <c r="D42" s="4">
        <v>184</v>
      </c>
      <c r="E42" s="3">
        <v>195</v>
      </c>
      <c r="F42" s="3">
        <v>3900</v>
      </c>
      <c r="G42" s="3" t="s">
        <v>2</v>
      </c>
    </row>
    <row r="43" spans="1:7" x14ac:dyDescent="0.45">
      <c r="A43" s="3" t="s">
        <v>0</v>
      </c>
      <c r="B43" s="3" t="s">
        <v>5</v>
      </c>
      <c r="C43" s="4">
        <v>360</v>
      </c>
      <c r="D43" s="4">
        <v>185</v>
      </c>
      <c r="E43" s="3">
        <v>186</v>
      </c>
      <c r="F43" s="3">
        <v>3100</v>
      </c>
      <c r="G43" s="3" t="s">
        <v>3</v>
      </c>
    </row>
    <row r="44" spans="1:7" x14ac:dyDescent="0.45">
      <c r="A44" s="3" t="s">
        <v>0</v>
      </c>
      <c r="B44" s="3" t="s">
        <v>5</v>
      </c>
      <c r="C44" s="4">
        <v>441</v>
      </c>
      <c r="D44" s="4">
        <v>197</v>
      </c>
      <c r="E44" s="3">
        <v>196</v>
      </c>
      <c r="F44" s="3">
        <v>4400</v>
      </c>
      <c r="G44" s="3" t="s">
        <v>2</v>
      </c>
    </row>
    <row r="45" spans="1:7" x14ac:dyDescent="0.45">
      <c r="A45" s="3" t="s">
        <v>0</v>
      </c>
      <c r="B45" s="3" t="s">
        <v>5</v>
      </c>
      <c r="C45" s="4">
        <v>370</v>
      </c>
      <c r="D45" s="4">
        <v>169</v>
      </c>
      <c r="E45" s="3">
        <v>185</v>
      </c>
      <c r="F45" s="3">
        <v>3000</v>
      </c>
      <c r="G45" s="3" t="s">
        <v>3</v>
      </c>
    </row>
    <row r="46" spans="1:7" x14ac:dyDescent="0.45">
      <c r="A46" s="3" t="s">
        <v>0</v>
      </c>
      <c r="B46" s="3" t="s">
        <v>5</v>
      </c>
      <c r="C46" s="4">
        <v>396</v>
      </c>
      <c r="D46" s="4">
        <v>188</v>
      </c>
      <c r="E46" s="3">
        <v>190</v>
      </c>
      <c r="F46" s="3">
        <v>4600</v>
      </c>
      <c r="G46" s="3" t="s">
        <v>2</v>
      </c>
    </row>
    <row r="47" spans="1:7" x14ac:dyDescent="0.45">
      <c r="A47" s="3" t="s">
        <v>0</v>
      </c>
      <c r="B47" s="3" t="s">
        <v>5</v>
      </c>
      <c r="C47" s="4">
        <v>411</v>
      </c>
      <c r="D47" s="4">
        <v>190</v>
      </c>
      <c r="E47" s="3">
        <v>182</v>
      </c>
      <c r="F47" s="3">
        <v>3425</v>
      </c>
      <c r="G47" s="3" t="s">
        <v>2</v>
      </c>
    </row>
    <row r="48" spans="1:7" x14ac:dyDescent="0.45">
      <c r="A48" s="3" t="s">
        <v>0</v>
      </c>
      <c r="B48" s="3" t="s">
        <v>5</v>
      </c>
      <c r="C48" s="4">
        <v>375</v>
      </c>
      <c r="D48" s="4">
        <v>189</v>
      </c>
      <c r="E48" s="3">
        <v>179</v>
      </c>
      <c r="F48" s="3">
        <v>2975</v>
      </c>
      <c r="G48" s="3" t="s">
        <v>3</v>
      </c>
    </row>
    <row r="49" spans="1:7" x14ac:dyDescent="0.45">
      <c r="A49" s="3" t="s">
        <v>0</v>
      </c>
      <c r="B49" s="3" t="s">
        <v>5</v>
      </c>
      <c r="C49" s="4">
        <v>360</v>
      </c>
      <c r="D49" s="4">
        <v>179</v>
      </c>
      <c r="E49" s="3">
        <v>190</v>
      </c>
      <c r="F49" s="3">
        <v>3450</v>
      </c>
      <c r="G49" s="3" t="s">
        <v>3</v>
      </c>
    </row>
    <row r="50" spans="1:7" x14ac:dyDescent="0.45">
      <c r="A50" s="3" t="s">
        <v>0</v>
      </c>
      <c r="B50" s="3" t="s">
        <v>5</v>
      </c>
      <c r="C50" s="4">
        <v>423</v>
      </c>
      <c r="D50" s="4">
        <v>212</v>
      </c>
      <c r="E50" s="3">
        <v>191</v>
      </c>
      <c r="F50" s="3">
        <v>4150</v>
      </c>
      <c r="G50" s="3" t="s">
        <v>2</v>
      </c>
    </row>
    <row r="51" spans="1:7" x14ac:dyDescent="0.45">
      <c r="A51" s="3" t="s">
        <v>0</v>
      </c>
      <c r="B51" s="3" t="s">
        <v>4</v>
      </c>
      <c r="C51" s="4">
        <v>396</v>
      </c>
      <c r="D51" s="4">
        <v>177</v>
      </c>
      <c r="E51" s="3">
        <v>186</v>
      </c>
      <c r="F51" s="3">
        <v>3500</v>
      </c>
      <c r="G51" s="3" t="s">
        <v>3</v>
      </c>
    </row>
    <row r="52" spans="1:7" x14ac:dyDescent="0.45">
      <c r="A52" s="3" t="s">
        <v>0</v>
      </c>
      <c r="B52" s="3" t="s">
        <v>4</v>
      </c>
      <c r="C52" s="4">
        <v>401</v>
      </c>
      <c r="D52" s="4">
        <v>189</v>
      </c>
      <c r="E52" s="3">
        <v>188</v>
      </c>
      <c r="F52" s="3">
        <v>4300</v>
      </c>
      <c r="G52" s="3" t="s">
        <v>2</v>
      </c>
    </row>
    <row r="53" spans="1:7" x14ac:dyDescent="0.45">
      <c r="A53" s="3" t="s">
        <v>0</v>
      </c>
      <c r="B53" s="3" t="s">
        <v>4</v>
      </c>
      <c r="C53" s="4">
        <v>350</v>
      </c>
      <c r="D53" s="4">
        <v>179</v>
      </c>
      <c r="E53" s="3">
        <v>190</v>
      </c>
      <c r="F53" s="3">
        <v>3450</v>
      </c>
      <c r="G53" s="3" t="s">
        <v>3</v>
      </c>
    </row>
    <row r="54" spans="1:7" x14ac:dyDescent="0.45">
      <c r="A54" s="3" t="s">
        <v>0</v>
      </c>
      <c r="B54" s="3" t="s">
        <v>4</v>
      </c>
      <c r="C54" s="4">
        <v>420</v>
      </c>
      <c r="D54" s="4">
        <v>195</v>
      </c>
      <c r="E54" s="3">
        <v>200</v>
      </c>
      <c r="F54" s="3">
        <v>4050</v>
      </c>
      <c r="G54" s="3" t="s">
        <v>2</v>
      </c>
    </row>
    <row r="55" spans="1:7" x14ac:dyDescent="0.45">
      <c r="A55" s="3" t="s">
        <v>0</v>
      </c>
      <c r="B55" s="3" t="s">
        <v>4</v>
      </c>
      <c r="C55" s="4">
        <v>345</v>
      </c>
      <c r="D55" s="4">
        <v>181</v>
      </c>
      <c r="E55" s="3">
        <v>187</v>
      </c>
      <c r="F55" s="3">
        <v>2900</v>
      </c>
      <c r="G55" s="3" t="s">
        <v>3</v>
      </c>
    </row>
    <row r="56" spans="1:7" x14ac:dyDescent="0.45">
      <c r="A56" s="3" t="s">
        <v>0</v>
      </c>
      <c r="B56" s="3" t="s">
        <v>4</v>
      </c>
      <c r="C56" s="4">
        <v>414</v>
      </c>
      <c r="D56" s="4">
        <v>186</v>
      </c>
      <c r="E56" s="3">
        <v>191</v>
      </c>
      <c r="F56" s="3">
        <v>3700</v>
      </c>
      <c r="G56" s="3" t="s">
        <v>2</v>
      </c>
    </row>
    <row r="57" spans="1:7" x14ac:dyDescent="0.45">
      <c r="A57" s="3" t="s">
        <v>0</v>
      </c>
      <c r="B57" s="3" t="s">
        <v>4</v>
      </c>
      <c r="C57" s="4">
        <v>390</v>
      </c>
      <c r="D57" s="4">
        <v>175</v>
      </c>
      <c r="E57" s="3">
        <v>186</v>
      </c>
      <c r="F57" s="3">
        <v>3550</v>
      </c>
      <c r="G57" s="3" t="s">
        <v>3</v>
      </c>
    </row>
    <row r="58" spans="1:7" x14ac:dyDescent="0.45">
      <c r="A58" s="3" t="s">
        <v>0</v>
      </c>
      <c r="B58" s="3" t="s">
        <v>4</v>
      </c>
      <c r="C58" s="4">
        <v>406</v>
      </c>
      <c r="D58" s="4">
        <v>188</v>
      </c>
      <c r="E58" s="3">
        <v>193</v>
      </c>
      <c r="F58" s="3">
        <v>3800</v>
      </c>
      <c r="G58" s="3" t="s">
        <v>2</v>
      </c>
    </row>
    <row r="59" spans="1:7" x14ac:dyDescent="0.45">
      <c r="A59" s="3" t="s">
        <v>0</v>
      </c>
      <c r="B59" s="3" t="s">
        <v>4</v>
      </c>
      <c r="C59" s="4">
        <v>365</v>
      </c>
      <c r="D59" s="4">
        <v>166</v>
      </c>
      <c r="E59" s="3">
        <v>181</v>
      </c>
      <c r="F59" s="3">
        <v>2850</v>
      </c>
      <c r="G59" s="3" t="s">
        <v>3</v>
      </c>
    </row>
    <row r="60" spans="1:7" x14ac:dyDescent="0.45">
      <c r="A60" s="3" t="s">
        <v>0</v>
      </c>
      <c r="B60" s="3" t="s">
        <v>4</v>
      </c>
      <c r="C60" s="4">
        <v>376</v>
      </c>
      <c r="D60" s="4">
        <v>191</v>
      </c>
      <c r="E60" s="3">
        <v>194</v>
      </c>
      <c r="F60" s="3">
        <v>3750</v>
      </c>
      <c r="G60" s="3" t="s">
        <v>2</v>
      </c>
    </row>
    <row r="61" spans="1:7" x14ac:dyDescent="0.45">
      <c r="A61" s="3" t="s">
        <v>0</v>
      </c>
      <c r="B61" s="3" t="s">
        <v>4</v>
      </c>
      <c r="C61" s="4">
        <v>357</v>
      </c>
      <c r="D61" s="4">
        <v>169</v>
      </c>
      <c r="E61" s="3">
        <v>185</v>
      </c>
      <c r="F61" s="3">
        <v>3150</v>
      </c>
      <c r="G61" s="3" t="s">
        <v>3</v>
      </c>
    </row>
    <row r="62" spans="1:7" x14ac:dyDescent="0.45">
      <c r="A62" s="3" t="s">
        <v>0</v>
      </c>
      <c r="B62" s="3" t="s">
        <v>4</v>
      </c>
      <c r="C62" s="4">
        <v>413</v>
      </c>
      <c r="D62" s="4">
        <v>211</v>
      </c>
      <c r="E62" s="3">
        <v>195</v>
      </c>
      <c r="F62" s="3">
        <v>4400</v>
      </c>
      <c r="G62" s="3" t="s">
        <v>2</v>
      </c>
    </row>
    <row r="63" spans="1:7" x14ac:dyDescent="0.45">
      <c r="A63" s="3" t="s">
        <v>0</v>
      </c>
      <c r="B63" s="3" t="s">
        <v>4</v>
      </c>
      <c r="C63" s="4">
        <v>376</v>
      </c>
      <c r="D63" s="4">
        <v>170</v>
      </c>
      <c r="E63" s="3">
        <v>185</v>
      </c>
      <c r="F63" s="3">
        <v>3600</v>
      </c>
      <c r="G63" s="3" t="s">
        <v>3</v>
      </c>
    </row>
    <row r="64" spans="1:7" x14ac:dyDescent="0.45">
      <c r="A64" s="3" t="s">
        <v>0</v>
      </c>
      <c r="B64" s="3" t="s">
        <v>4</v>
      </c>
      <c r="C64" s="4">
        <v>411</v>
      </c>
      <c r="D64" s="4">
        <v>182</v>
      </c>
      <c r="E64" s="3">
        <v>192</v>
      </c>
      <c r="F64" s="3">
        <v>4050</v>
      </c>
      <c r="G64" s="3" t="s">
        <v>2</v>
      </c>
    </row>
    <row r="65" spans="1:7" x14ac:dyDescent="0.45">
      <c r="A65" s="3" t="s">
        <v>0</v>
      </c>
      <c r="B65" s="3" t="s">
        <v>4</v>
      </c>
      <c r="C65" s="4">
        <v>364</v>
      </c>
      <c r="D65" s="4">
        <v>171</v>
      </c>
      <c r="E65" s="3">
        <v>184</v>
      </c>
      <c r="F65" s="3">
        <v>2850</v>
      </c>
      <c r="G65" s="3" t="s">
        <v>3</v>
      </c>
    </row>
    <row r="66" spans="1:7" x14ac:dyDescent="0.45">
      <c r="A66" s="3" t="s">
        <v>0</v>
      </c>
      <c r="B66" s="3" t="s">
        <v>4</v>
      </c>
      <c r="C66" s="4">
        <v>416</v>
      </c>
      <c r="D66" s="4">
        <v>180</v>
      </c>
      <c r="E66" s="3">
        <v>192</v>
      </c>
      <c r="F66" s="3">
        <v>3950</v>
      </c>
      <c r="G66" s="3" t="s">
        <v>2</v>
      </c>
    </row>
    <row r="67" spans="1:7" x14ac:dyDescent="0.45">
      <c r="A67" s="3" t="s">
        <v>0</v>
      </c>
      <c r="B67" s="3" t="s">
        <v>4</v>
      </c>
      <c r="C67" s="4">
        <v>355</v>
      </c>
      <c r="D67" s="4">
        <v>162</v>
      </c>
      <c r="E67" s="3">
        <v>195</v>
      </c>
      <c r="F67" s="3">
        <v>3350</v>
      </c>
      <c r="G67" s="3" t="s">
        <v>3</v>
      </c>
    </row>
    <row r="68" spans="1:7" x14ac:dyDescent="0.45">
      <c r="A68" s="3" t="s">
        <v>0</v>
      </c>
      <c r="B68" s="3" t="s">
        <v>4</v>
      </c>
      <c r="C68" s="4">
        <v>411</v>
      </c>
      <c r="D68" s="4">
        <v>191</v>
      </c>
      <c r="E68" s="3">
        <v>188</v>
      </c>
      <c r="F68" s="3">
        <v>4100</v>
      </c>
      <c r="G68" s="3" t="s">
        <v>2</v>
      </c>
    </row>
    <row r="69" spans="1:7" x14ac:dyDescent="0.45">
      <c r="A69" s="3" t="s">
        <v>0</v>
      </c>
      <c r="B69" s="3" t="s">
        <v>1</v>
      </c>
      <c r="C69" s="4">
        <v>359</v>
      </c>
      <c r="D69" s="4">
        <v>166</v>
      </c>
      <c r="E69" s="3">
        <v>190</v>
      </c>
      <c r="F69" s="3">
        <v>3050</v>
      </c>
      <c r="G69" s="3" t="s">
        <v>3</v>
      </c>
    </row>
    <row r="70" spans="1:7" x14ac:dyDescent="0.45">
      <c r="A70" s="3" t="s">
        <v>0</v>
      </c>
      <c r="B70" s="3" t="s">
        <v>1</v>
      </c>
      <c r="C70" s="4">
        <v>418</v>
      </c>
      <c r="D70" s="4">
        <v>194</v>
      </c>
      <c r="E70" s="3">
        <v>198</v>
      </c>
      <c r="F70" s="3">
        <v>4450</v>
      </c>
      <c r="G70" s="3" t="s">
        <v>2</v>
      </c>
    </row>
    <row r="71" spans="1:7" x14ac:dyDescent="0.45">
      <c r="A71" s="3" t="s">
        <v>0</v>
      </c>
      <c r="B71" s="3" t="s">
        <v>1</v>
      </c>
      <c r="C71" s="4">
        <v>335</v>
      </c>
      <c r="D71" s="4">
        <v>190</v>
      </c>
      <c r="E71" s="3">
        <v>190</v>
      </c>
      <c r="F71" s="3">
        <v>3600</v>
      </c>
      <c r="G71" s="3" t="s">
        <v>3</v>
      </c>
    </row>
    <row r="72" spans="1:7" x14ac:dyDescent="0.45">
      <c r="A72" s="3" t="s">
        <v>0</v>
      </c>
      <c r="B72" s="3" t="s">
        <v>1</v>
      </c>
      <c r="C72" s="4">
        <v>397</v>
      </c>
      <c r="D72" s="4">
        <v>184</v>
      </c>
      <c r="E72" s="3">
        <v>190</v>
      </c>
      <c r="F72" s="3">
        <v>3900</v>
      </c>
      <c r="G72" s="3" t="s">
        <v>2</v>
      </c>
    </row>
    <row r="73" spans="1:7" x14ac:dyDescent="0.45">
      <c r="A73" s="3" t="s">
        <v>0</v>
      </c>
      <c r="B73" s="3" t="s">
        <v>1</v>
      </c>
      <c r="C73" s="4">
        <v>396</v>
      </c>
      <c r="D73" s="4">
        <v>172</v>
      </c>
      <c r="E73" s="3">
        <v>196</v>
      </c>
      <c r="F73" s="3">
        <v>3550</v>
      </c>
      <c r="G73" s="3" t="s">
        <v>3</v>
      </c>
    </row>
    <row r="74" spans="1:7" x14ac:dyDescent="0.45">
      <c r="A74" s="3" t="s">
        <v>0</v>
      </c>
      <c r="B74" s="3" t="s">
        <v>1</v>
      </c>
      <c r="C74" s="4">
        <v>458</v>
      </c>
      <c r="D74" s="4">
        <v>189</v>
      </c>
      <c r="E74" s="3">
        <v>197</v>
      </c>
      <c r="F74" s="3">
        <v>4150</v>
      </c>
      <c r="G74" s="3" t="s">
        <v>2</v>
      </c>
    </row>
    <row r="75" spans="1:7" x14ac:dyDescent="0.45">
      <c r="A75" s="3" t="s">
        <v>0</v>
      </c>
      <c r="B75" s="3" t="s">
        <v>1</v>
      </c>
      <c r="C75" s="4">
        <v>355</v>
      </c>
      <c r="D75" s="4">
        <v>175</v>
      </c>
      <c r="E75" s="3">
        <v>190</v>
      </c>
      <c r="F75" s="3">
        <v>3700</v>
      </c>
      <c r="G75" s="3" t="s">
        <v>3</v>
      </c>
    </row>
    <row r="76" spans="1:7" x14ac:dyDescent="0.45">
      <c r="A76" s="3" t="s">
        <v>0</v>
      </c>
      <c r="B76" s="3" t="s">
        <v>1</v>
      </c>
      <c r="C76" s="4">
        <v>428</v>
      </c>
      <c r="D76" s="4">
        <v>185</v>
      </c>
      <c r="E76" s="3">
        <v>195</v>
      </c>
      <c r="F76" s="3">
        <v>4250</v>
      </c>
      <c r="G76" s="3" t="s">
        <v>2</v>
      </c>
    </row>
    <row r="77" spans="1:7" x14ac:dyDescent="0.45">
      <c r="A77" s="3" t="s">
        <v>0</v>
      </c>
      <c r="B77" s="3" t="s">
        <v>1</v>
      </c>
      <c r="C77" s="4">
        <v>409</v>
      </c>
      <c r="D77" s="4">
        <v>168</v>
      </c>
      <c r="E77" s="3">
        <v>191</v>
      </c>
      <c r="F77" s="3">
        <v>3700</v>
      </c>
      <c r="G77" s="3" t="s">
        <v>3</v>
      </c>
    </row>
    <row r="78" spans="1:7" x14ac:dyDescent="0.45">
      <c r="A78" s="3" t="s">
        <v>0</v>
      </c>
      <c r="B78" s="3" t="s">
        <v>1</v>
      </c>
      <c r="C78" s="4">
        <v>372</v>
      </c>
      <c r="D78" s="4">
        <v>194</v>
      </c>
      <c r="E78" s="3">
        <v>184</v>
      </c>
      <c r="F78" s="3">
        <v>3900</v>
      </c>
      <c r="G78" s="3" t="s">
        <v>2</v>
      </c>
    </row>
    <row r="79" spans="1:7" x14ac:dyDescent="0.45">
      <c r="A79" s="3" t="s">
        <v>0</v>
      </c>
      <c r="B79" s="3" t="s">
        <v>1</v>
      </c>
      <c r="C79" s="4">
        <v>362</v>
      </c>
      <c r="D79" s="4">
        <v>161</v>
      </c>
      <c r="E79" s="3">
        <v>187</v>
      </c>
      <c r="F79" s="3">
        <v>3550</v>
      </c>
      <c r="G79" s="3" t="s">
        <v>3</v>
      </c>
    </row>
    <row r="80" spans="1:7" x14ac:dyDescent="0.45">
      <c r="A80" s="3" t="s">
        <v>0</v>
      </c>
      <c r="B80" s="3" t="s">
        <v>1</v>
      </c>
      <c r="C80" s="4">
        <v>421</v>
      </c>
      <c r="D80" s="4">
        <v>191</v>
      </c>
      <c r="E80" s="3">
        <v>195</v>
      </c>
      <c r="F80" s="3">
        <v>4000</v>
      </c>
      <c r="G80" s="3" t="s">
        <v>2</v>
      </c>
    </row>
    <row r="81" spans="1:7" x14ac:dyDescent="0.45">
      <c r="A81" s="3" t="s">
        <v>0</v>
      </c>
      <c r="B81" s="3" t="s">
        <v>1</v>
      </c>
      <c r="C81" s="4">
        <v>346</v>
      </c>
      <c r="D81" s="4">
        <v>172</v>
      </c>
      <c r="E81" s="3">
        <v>189</v>
      </c>
      <c r="F81" s="3">
        <v>3200</v>
      </c>
      <c r="G81" s="3" t="s">
        <v>3</v>
      </c>
    </row>
    <row r="82" spans="1:7" x14ac:dyDescent="0.45">
      <c r="A82" s="3" t="s">
        <v>0</v>
      </c>
      <c r="B82" s="3" t="s">
        <v>1</v>
      </c>
      <c r="C82" s="4">
        <v>429</v>
      </c>
      <c r="D82" s="4">
        <v>176</v>
      </c>
      <c r="E82" s="3">
        <v>196</v>
      </c>
      <c r="F82" s="3">
        <v>4700</v>
      </c>
      <c r="G82" s="3" t="s">
        <v>2</v>
      </c>
    </row>
    <row r="83" spans="1:7" x14ac:dyDescent="0.45">
      <c r="A83" s="3" t="s">
        <v>0</v>
      </c>
      <c r="B83" s="3" t="s">
        <v>1</v>
      </c>
      <c r="C83" s="4">
        <v>367</v>
      </c>
      <c r="D83" s="4">
        <v>188</v>
      </c>
      <c r="E83" s="3">
        <v>187</v>
      </c>
      <c r="F83" s="3">
        <v>3800</v>
      </c>
      <c r="G83" s="3" t="s">
        <v>3</v>
      </c>
    </row>
    <row r="84" spans="1:7" x14ac:dyDescent="0.45">
      <c r="A84" s="3" t="s">
        <v>0</v>
      </c>
      <c r="B84" s="3" t="s">
        <v>1</v>
      </c>
      <c r="C84" s="4">
        <v>351</v>
      </c>
      <c r="D84" s="4">
        <v>194</v>
      </c>
      <c r="E84" s="3">
        <v>193</v>
      </c>
      <c r="F84" s="3">
        <v>4200</v>
      </c>
      <c r="G84" s="3" t="s">
        <v>2</v>
      </c>
    </row>
    <row r="85" spans="1:7" x14ac:dyDescent="0.45">
      <c r="A85" s="3" t="s">
        <v>0</v>
      </c>
      <c r="B85" s="3" t="s">
        <v>5</v>
      </c>
      <c r="C85" s="4">
        <v>373</v>
      </c>
      <c r="D85" s="4">
        <v>178</v>
      </c>
      <c r="E85" s="3">
        <v>191</v>
      </c>
      <c r="F85" s="3">
        <v>3350</v>
      </c>
      <c r="G85" s="3" t="s">
        <v>3</v>
      </c>
    </row>
    <row r="86" spans="1:7" x14ac:dyDescent="0.45">
      <c r="A86" s="3" t="s">
        <v>0</v>
      </c>
      <c r="B86" s="3" t="s">
        <v>5</v>
      </c>
      <c r="C86" s="4">
        <v>413</v>
      </c>
      <c r="D86" s="4">
        <v>203</v>
      </c>
      <c r="E86" s="3">
        <v>194</v>
      </c>
      <c r="F86" s="3">
        <v>3550</v>
      </c>
      <c r="G86" s="3" t="s">
        <v>2</v>
      </c>
    </row>
    <row r="87" spans="1:7" x14ac:dyDescent="0.45">
      <c r="A87" s="3" t="s">
        <v>0</v>
      </c>
      <c r="B87" s="3" t="s">
        <v>5</v>
      </c>
      <c r="C87" s="4">
        <v>363</v>
      </c>
      <c r="D87" s="4">
        <v>195</v>
      </c>
      <c r="E87" s="3">
        <v>190</v>
      </c>
      <c r="F87" s="3">
        <v>3800</v>
      </c>
      <c r="G87" s="3" t="s">
        <v>2</v>
      </c>
    </row>
    <row r="88" spans="1:7" x14ac:dyDescent="0.45">
      <c r="A88" s="3" t="s">
        <v>0</v>
      </c>
      <c r="B88" s="3" t="s">
        <v>5</v>
      </c>
      <c r="C88" s="4">
        <v>369</v>
      </c>
      <c r="D88" s="4">
        <v>186</v>
      </c>
      <c r="E88" s="3">
        <v>189</v>
      </c>
      <c r="F88" s="3">
        <v>3500</v>
      </c>
      <c r="G88" s="3" t="s">
        <v>3</v>
      </c>
    </row>
    <row r="89" spans="1:7" x14ac:dyDescent="0.45">
      <c r="A89" s="3" t="s">
        <v>0</v>
      </c>
      <c r="B89" s="3" t="s">
        <v>5</v>
      </c>
      <c r="C89" s="4">
        <v>383</v>
      </c>
      <c r="D89" s="4">
        <v>192</v>
      </c>
      <c r="E89" s="3">
        <v>189</v>
      </c>
      <c r="F89" s="3">
        <v>3950</v>
      </c>
      <c r="G89" s="3" t="s">
        <v>2</v>
      </c>
    </row>
    <row r="90" spans="1:7" x14ac:dyDescent="0.45">
      <c r="A90" s="3" t="s">
        <v>0</v>
      </c>
      <c r="B90" s="3" t="s">
        <v>5</v>
      </c>
      <c r="C90" s="4">
        <v>389</v>
      </c>
      <c r="D90" s="4">
        <v>188</v>
      </c>
      <c r="E90" s="3">
        <v>190</v>
      </c>
      <c r="F90" s="3">
        <v>3600</v>
      </c>
      <c r="G90" s="3" t="s">
        <v>3</v>
      </c>
    </row>
    <row r="91" spans="1:7" x14ac:dyDescent="0.45">
      <c r="A91" s="3" t="s">
        <v>0</v>
      </c>
      <c r="B91" s="3" t="s">
        <v>5</v>
      </c>
      <c r="C91" s="4">
        <v>357</v>
      </c>
      <c r="D91" s="4">
        <v>180</v>
      </c>
      <c r="E91" s="3">
        <v>202</v>
      </c>
      <c r="F91" s="3">
        <v>3550</v>
      </c>
      <c r="G91" s="3" t="s">
        <v>3</v>
      </c>
    </row>
    <row r="92" spans="1:7" x14ac:dyDescent="0.45">
      <c r="A92" s="3" t="s">
        <v>0</v>
      </c>
      <c r="B92" s="3" t="s">
        <v>5</v>
      </c>
      <c r="C92" s="4">
        <v>411</v>
      </c>
      <c r="D92" s="4">
        <v>181</v>
      </c>
      <c r="E92" s="3">
        <v>205</v>
      </c>
      <c r="F92" s="3">
        <v>4300</v>
      </c>
      <c r="G92" s="3" t="s">
        <v>2</v>
      </c>
    </row>
    <row r="93" spans="1:7" x14ac:dyDescent="0.45">
      <c r="A93" s="3" t="s">
        <v>0</v>
      </c>
      <c r="B93" s="3" t="s">
        <v>5</v>
      </c>
      <c r="C93" s="4">
        <v>340</v>
      </c>
      <c r="D93" s="4">
        <v>171</v>
      </c>
      <c r="E93" s="3">
        <v>185</v>
      </c>
      <c r="F93" s="3">
        <v>3400</v>
      </c>
      <c r="G93" s="3" t="s">
        <v>3</v>
      </c>
    </row>
    <row r="94" spans="1:7" x14ac:dyDescent="0.45">
      <c r="A94" s="3" t="s">
        <v>0</v>
      </c>
      <c r="B94" s="3" t="s">
        <v>5</v>
      </c>
      <c r="C94" s="4">
        <v>396</v>
      </c>
      <c r="D94" s="4">
        <v>181</v>
      </c>
      <c r="E94" s="3">
        <v>186</v>
      </c>
      <c r="F94" s="3">
        <v>4450</v>
      </c>
      <c r="G94" s="3" t="s">
        <v>2</v>
      </c>
    </row>
    <row r="95" spans="1:7" x14ac:dyDescent="0.45">
      <c r="A95" s="3" t="s">
        <v>0</v>
      </c>
      <c r="B95" s="3" t="s">
        <v>5</v>
      </c>
      <c r="C95" s="4">
        <v>362</v>
      </c>
      <c r="D95" s="4">
        <v>173</v>
      </c>
      <c r="E95" s="3">
        <v>187</v>
      </c>
      <c r="F95" s="3">
        <v>3300</v>
      </c>
      <c r="G95" s="3" t="s">
        <v>3</v>
      </c>
    </row>
    <row r="96" spans="1:7" x14ac:dyDescent="0.45">
      <c r="A96" s="3" t="s">
        <v>0</v>
      </c>
      <c r="B96" s="3" t="s">
        <v>5</v>
      </c>
      <c r="C96" s="4">
        <v>408</v>
      </c>
      <c r="D96" s="4">
        <v>189</v>
      </c>
      <c r="E96" s="3">
        <v>208</v>
      </c>
      <c r="F96" s="3">
        <v>4300</v>
      </c>
      <c r="G96" s="3" t="s">
        <v>2</v>
      </c>
    </row>
    <row r="97" spans="1:7" x14ac:dyDescent="0.45">
      <c r="A97" s="3" t="s">
        <v>0</v>
      </c>
      <c r="B97" s="3" t="s">
        <v>5</v>
      </c>
      <c r="C97" s="4">
        <v>381</v>
      </c>
      <c r="D97" s="4">
        <v>186</v>
      </c>
      <c r="E97" s="3">
        <v>190</v>
      </c>
      <c r="F97" s="3">
        <v>3700</v>
      </c>
      <c r="G97" s="3" t="s">
        <v>3</v>
      </c>
    </row>
    <row r="98" spans="1:7" x14ac:dyDescent="0.45">
      <c r="A98" s="3" t="s">
        <v>0</v>
      </c>
      <c r="B98" s="3" t="s">
        <v>5</v>
      </c>
      <c r="C98" s="4">
        <v>403</v>
      </c>
      <c r="D98" s="4">
        <v>185</v>
      </c>
      <c r="E98" s="3">
        <v>196</v>
      </c>
      <c r="F98" s="3">
        <v>4350</v>
      </c>
      <c r="G98" s="3" t="s">
        <v>2</v>
      </c>
    </row>
    <row r="99" spans="1:7" x14ac:dyDescent="0.45">
      <c r="A99" s="3" t="s">
        <v>0</v>
      </c>
      <c r="B99" s="3" t="s">
        <v>5</v>
      </c>
      <c r="C99" s="4">
        <v>331</v>
      </c>
      <c r="D99" s="4">
        <v>161</v>
      </c>
      <c r="E99" s="3">
        <v>178</v>
      </c>
      <c r="F99" s="3">
        <v>2900</v>
      </c>
      <c r="G99" s="3" t="s">
        <v>3</v>
      </c>
    </row>
    <row r="100" spans="1:7" x14ac:dyDescent="0.45">
      <c r="A100" s="3" t="s">
        <v>0</v>
      </c>
      <c r="B100" s="3" t="s">
        <v>5</v>
      </c>
      <c r="C100" s="4">
        <v>432</v>
      </c>
      <c r="D100" s="4">
        <v>185</v>
      </c>
      <c r="E100" s="3">
        <v>192</v>
      </c>
      <c r="F100" s="3">
        <v>4100</v>
      </c>
      <c r="G100" s="3" t="s">
        <v>2</v>
      </c>
    </row>
    <row r="101" spans="1:7" x14ac:dyDescent="0.45">
      <c r="A101" s="3" t="s">
        <v>0</v>
      </c>
      <c r="B101" s="3" t="s">
        <v>4</v>
      </c>
      <c r="C101" s="4">
        <v>350</v>
      </c>
      <c r="D101" s="4">
        <v>179</v>
      </c>
      <c r="E101" s="3">
        <v>192</v>
      </c>
      <c r="F101" s="3">
        <v>3725</v>
      </c>
      <c r="G101" s="3" t="s">
        <v>3</v>
      </c>
    </row>
    <row r="102" spans="1:7" x14ac:dyDescent="0.45">
      <c r="A102" s="3" t="s">
        <v>0</v>
      </c>
      <c r="B102" s="3" t="s">
        <v>4</v>
      </c>
      <c r="C102" s="4">
        <v>410</v>
      </c>
      <c r="D102" s="4">
        <v>200</v>
      </c>
      <c r="E102" s="3">
        <v>203</v>
      </c>
      <c r="F102" s="3">
        <v>4725</v>
      </c>
      <c r="G102" s="3" t="s">
        <v>2</v>
      </c>
    </row>
    <row r="103" spans="1:7" x14ac:dyDescent="0.45">
      <c r="A103" s="3" t="s">
        <v>0</v>
      </c>
      <c r="B103" s="3" t="s">
        <v>4</v>
      </c>
      <c r="C103" s="4">
        <v>377</v>
      </c>
      <c r="D103" s="4">
        <v>160</v>
      </c>
      <c r="E103" s="3">
        <v>183</v>
      </c>
      <c r="F103" s="3">
        <v>3075</v>
      </c>
      <c r="G103" s="3" t="s">
        <v>3</v>
      </c>
    </row>
    <row r="104" spans="1:7" x14ac:dyDescent="0.45">
      <c r="A104" s="3" t="s">
        <v>0</v>
      </c>
      <c r="B104" s="3" t="s">
        <v>4</v>
      </c>
      <c r="C104" s="4">
        <v>378</v>
      </c>
      <c r="D104" s="4">
        <v>200</v>
      </c>
      <c r="E104" s="3">
        <v>190</v>
      </c>
      <c r="F104" s="3">
        <v>4250</v>
      </c>
      <c r="G104" s="3" t="s">
        <v>2</v>
      </c>
    </row>
    <row r="105" spans="1:7" x14ac:dyDescent="0.45">
      <c r="A105" s="3" t="s">
        <v>0</v>
      </c>
      <c r="B105" s="3" t="s">
        <v>4</v>
      </c>
      <c r="C105" s="4">
        <v>379</v>
      </c>
      <c r="D105" s="4">
        <v>186</v>
      </c>
      <c r="E105" s="3">
        <v>193</v>
      </c>
      <c r="F105" s="3">
        <v>2925</v>
      </c>
      <c r="G105" s="3" t="s">
        <v>3</v>
      </c>
    </row>
    <row r="106" spans="1:7" x14ac:dyDescent="0.45">
      <c r="A106" s="3" t="s">
        <v>0</v>
      </c>
      <c r="B106" s="3" t="s">
        <v>4</v>
      </c>
      <c r="C106" s="4">
        <v>397</v>
      </c>
      <c r="D106" s="4">
        <v>189</v>
      </c>
      <c r="E106" s="3">
        <v>184</v>
      </c>
      <c r="F106" s="3">
        <v>3550</v>
      </c>
      <c r="G106" s="3" t="s">
        <v>2</v>
      </c>
    </row>
    <row r="107" spans="1:7" x14ac:dyDescent="0.45">
      <c r="A107" s="3" t="s">
        <v>0</v>
      </c>
      <c r="B107" s="3" t="s">
        <v>4</v>
      </c>
      <c r="C107" s="4">
        <v>386</v>
      </c>
      <c r="D107" s="4">
        <v>172</v>
      </c>
      <c r="E107" s="3">
        <v>199</v>
      </c>
      <c r="F107" s="3">
        <v>3750</v>
      </c>
      <c r="G107" s="3" t="s">
        <v>3</v>
      </c>
    </row>
    <row r="108" spans="1:7" x14ac:dyDescent="0.45">
      <c r="A108" s="3" t="s">
        <v>0</v>
      </c>
      <c r="B108" s="3" t="s">
        <v>4</v>
      </c>
      <c r="C108" s="4">
        <v>382</v>
      </c>
      <c r="D108" s="4">
        <v>200</v>
      </c>
      <c r="E108" s="3">
        <v>190</v>
      </c>
      <c r="F108" s="3">
        <v>3900</v>
      </c>
      <c r="G108" s="3" t="s">
        <v>2</v>
      </c>
    </row>
    <row r="109" spans="1:7" x14ac:dyDescent="0.45">
      <c r="A109" s="3" t="s">
        <v>0</v>
      </c>
      <c r="B109" s="3" t="s">
        <v>4</v>
      </c>
      <c r="C109" s="4">
        <v>381</v>
      </c>
      <c r="D109" s="4">
        <v>170</v>
      </c>
      <c r="E109" s="3">
        <v>181</v>
      </c>
      <c r="F109" s="3">
        <v>3175</v>
      </c>
      <c r="G109" s="3" t="s">
        <v>3</v>
      </c>
    </row>
    <row r="110" spans="1:7" x14ac:dyDescent="0.45">
      <c r="A110" s="3" t="s">
        <v>0</v>
      </c>
      <c r="B110" s="3" t="s">
        <v>4</v>
      </c>
      <c r="C110" s="4">
        <v>432</v>
      </c>
      <c r="D110" s="4">
        <v>190</v>
      </c>
      <c r="E110" s="3">
        <v>197</v>
      </c>
      <c r="F110" s="3">
        <v>4775</v>
      </c>
      <c r="G110" s="3" t="s">
        <v>2</v>
      </c>
    </row>
    <row r="111" spans="1:7" x14ac:dyDescent="0.45">
      <c r="A111" s="3" t="s">
        <v>0</v>
      </c>
      <c r="B111" s="3" t="s">
        <v>4</v>
      </c>
      <c r="C111" s="4">
        <v>381</v>
      </c>
      <c r="D111" s="4">
        <v>165</v>
      </c>
      <c r="E111" s="3">
        <v>198</v>
      </c>
      <c r="F111" s="3">
        <v>3825</v>
      </c>
      <c r="G111" s="3" t="s">
        <v>3</v>
      </c>
    </row>
    <row r="112" spans="1:7" x14ac:dyDescent="0.45">
      <c r="A112" s="3" t="s">
        <v>0</v>
      </c>
      <c r="B112" s="3" t="s">
        <v>4</v>
      </c>
      <c r="C112" s="4">
        <v>456</v>
      </c>
      <c r="D112" s="4">
        <v>203</v>
      </c>
      <c r="E112" s="3">
        <v>191</v>
      </c>
      <c r="F112" s="3">
        <v>4600</v>
      </c>
      <c r="G112" s="3" t="s">
        <v>2</v>
      </c>
    </row>
    <row r="113" spans="1:7" x14ac:dyDescent="0.45">
      <c r="A113" s="3" t="s">
        <v>0</v>
      </c>
      <c r="B113" s="3" t="s">
        <v>4</v>
      </c>
      <c r="C113" s="4">
        <v>397</v>
      </c>
      <c r="D113" s="4">
        <v>177</v>
      </c>
      <c r="E113" s="3">
        <v>193</v>
      </c>
      <c r="F113" s="3">
        <v>3200</v>
      </c>
      <c r="G113" s="3" t="s">
        <v>3</v>
      </c>
    </row>
    <row r="114" spans="1:7" x14ac:dyDescent="0.45">
      <c r="A114" s="3" t="s">
        <v>0</v>
      </c>
      <c r="B114" s="3" t="s">
        <v>4</v>
      </c>
      <c r="C114" s="4">
        <v>422</v>
      </c>
      <c r="D114" s="4">
        <v>195</v>
      </c>
      <c r="E114" s="3">
        <v>197</v>
      </c>
      <c r="F114" s="3">
        <v>4275</v>
      </c>
      <c r="G114" s="3" t="s">
        <v>2</v>
      </c>
    </row>
    <row r="115" spans="1:7" x14ac:dyDescent="0.45">
      <c r="A115" s="3" t="s">
        <v>0</v>
      </c>
      <c r="B115" s="3" t="s">
        <v>4</v>
      </c>
      <c r="C115" s="4">
        <v>396</v>
      </c>
      <c r="D115" s="4">
        <v>207</v>
      </c>
      <c r="E115" s="3">
        <v>191</v>
      </c>
      <c r="F115" s="3">
        <v>3900</v>
      </c>
      <c r="G115" s="3" t="s">
        <v>3</v>
      </c>
    </row>
    <row r="116" spans="1:7" x14ac:dyDescent="0.45">
      <c r="A116" s="3" t="s">
        <v>0</v>
      </c>
      <c r="B116" s="3" t="s">
        <v>4</v>
      </c>
      <c r="C116" s="4">
        <v>427</v>
      </c>
      <c r="D116" s="4">
        <v>183</v>
      </c>
      <c r="E116" s="3">
        <v>196</v>
      </c>
      <c r="F116" s="3">
        <v>4075</v>
      </c>
      <c r="G116" s="3" t="s">
        <v>2</v>
      </c>
    </row>
    <row r="117" spans="1:7" x14ac:dyDescent="0.45">
      <c r="A117" s="3" t="s">
        <v>0</v>
      </c>
      <c r="B117" s="3" t="s">
        <v>1</v>
      </c>
      <c r="C117" s="4">
        <v>386</v>
      </c>
      <c r="D117" s="4">
        <v>170</v>
      </c>
      <c r="E117" s="3">
        <v>188</v>
      </c>
      <c r="F117" s="3">
        <v>2900</v>
      </c>
      <c r="G117" s="3" t="s">
        <v>3</v>
      </c>
    </row>
    <row r="118" spans="1:7" x14ac:dyDescent="0.45">
      <c r="A118" s="3" t="s">
        <v>0</v>
      </c>
      <c r="B118" s="3" t="s">
        <v>1</v>
      </c>
      <c r="C118" s="4">
        <v>373</v>
      </c>
      <c r="D118" s="4">
        <v>205</v>
      </c>
      <c r="E118" s="3">
        <v>199</v>
      </c>
      <c r="F118" s="3">
        <v>3775</v>
      </c>
      <c r="G118" s="3" t="s">
        <v>2</v>
      </c>
    </row>
    <row r="119" spans="1:7" x14ac:dyDescent="0.45">
      <c r="A119" s="3" t="s">
        <v>0</v>
      </c>
      <c r="B119" s="3" t="s">
        <v>1</v>
      </c>
      <c r="C119" s="4">
        <v>357</v>
      </c>
      <c r="D119" s="4">
        <v>170</v>
      </c>
      <c r="E119" s="3">
        <v>189</v>
      </c>
      <c r="F119" s="3">
        <v>3350</v>
      </c>
      <c r="G119" s="3" t="s">
        <v>3</v>
      </c>
    </row>
    <row r="120" spans="1:7" x14ac:dyDescent="0.45">
      <c r="A120" s="3" t="s">
        <v>0</v>
      </c>
      <c r="B120" s="3" t="s">
        <v>1</v>
      </c>
      <c r="C120" s="4">
        <v>411</v>
      </c>
      <c r="D120" s="4">
        <v>186</v>
      </c>
      <c r="E120" s="3">
        <v>189</v>
      </c>
      <c r="F120" s="3">
        <v>3325</v>
      </c>
      <c r="G120" s="3" t="s">
        <v>2</v>
      </c>
    </row>
    <row r="121" spans="1:7" x14ac:dyDescent="0.45">
      <c r="A121" s="3" t="s">
        <v>0</v>
      </c>
      <c r="B121" s="3" t="s">
        <v>1</v>
      </c>
      <c r="C121" s="4">
        <v>362</v>
      </c>
      <c r="D121" s="4">
        <v>172</v>
      </c>
      <c r="E121" s="3">
        <v>187</v>
      </c>
      <c r="F121" s="3">
        <v>3150</v>
      </c>
      <c r="G121" s="3" t="s">
        <v>3</v>
      </c>
    </row>
    <row r="122" spans="1:7" x14ac:dyDescent="0.45">
      <c r="A122" s="3" t="s">
        <v>0</v>
      </c>
      <c r="B122" s="3" t="s">
        <v>1</v>
      </c>
      <c r="C122" s="4">
        <v>377</v>
      </c>
      <c r="D122" s="4">
        <v>198</v>
      </c>
      <c r="E122" s="3">
        <v>198</v>
      </c>
      <c r="F122" s="3">
        <v>3500</v>
      </c>
      <c r="G122" s="3" t="s">
        <v>2</v>
      </c>
    </row>
    <row r="123" spans="1:7" x14ac:dyDescent="0.45">
      <c r="A123" s="3" t="s">
        <v>0</v>
      </c>
      <c r="B123" s="3" t="s">
        <v>1</v>
      </c>
      <c r="C123" s="4">
        <v>402</v>
      </c>
      <c r="D123" s="4">
        <v>170</v>
      </c>
      <c r="E123" s="3">
        <v>176</v>
      </c>
      <c r="F123" s="3">
        <v>3450</v>
      </c>
      <c r="G123" s="3" t="s">
        <v>3</v>
      </c>
    </row>
    <row r="124" spans="1:7" x14ac:dyDescent="0.45">
      <c r="A124" s="3" t="s">
        <v>0</v>
      </c>
      <c r="B124" s="3" t="s">
        <v>1</v>
      </c>
      <c r="C124" s="4">
        <v>414</v>
      </c>
      <c r="D124" s="4">
        <v>185</v>
      </c>
      <c r="E124" s="3">
        <v>202</v>
      </c>
      <c r="F124" s="3">
        <v>3875</v>
      </c>
      <c r="G124" s="3" t="s">
        <v>2</v>
      </c>
    </row>
    <row r="125" spans="1:7" x14ac:dyDescent="0.45">
      <c r="A125" s="3" t="s">
        <v>0</v>
      </c>
      <c r="B125" s="3" t="s">
        <v>1</v>
      </c>
      <c r="C125" s="4">
        <v>352</v>
      </c>
      <c r="D125" s="4">
        <v>159</v>
      </c>
      <c r="E125" s="3">
        <v>186</v>
      </c>
      <c r="F125" s="3">
        <v>3050</v>
      </c>
      <c r="G125" s="3" t="s">
        <v>3</v>
      </c>
    </row>
    <row r="126" spans="1:7" x14ac:dyDescent="0.45">
      <c r="A126" s="3" t="s">
        <v>0</v>
      </c>
      <c r="B126" s="3" t="s">
        <v>1</v>
      </c>
      <c r="C126" s="4">
        <v>406</v>
      </c>
      <c r="D126" s="4">
        <v>190</v>
      </c>
      <c r="E126" s="3">
        <v>199</v>
      </c>
      <c r="F126" s="3">
        <v>4000</v>
      </c>
      <c r="G126" s="3" t="s">
        <v>2</v>
      </c>
    </row>
    <row r="127" spans="1:7" x14ac:dyDescent="0.45">
      <c r="A127" s="3" t="s">
        <v>0</v>
      </c>
      <c r="B127" s="3" t="s">
        <v>1</v>
      </c>
      <c r="C127" s="4">
        <v>388</v>
      </c>
      <c r="D127" s="4">
        <v>176</v>
      </c>
      <c r="E127" s="3">
        <v>191</v>
      </c>
      <c r="F127" s="3">
        <v>3275</v>
      </c>
      <c r="G127" s="3" t="s">
        <v>3</v>
      </c>
    </row>
    <row r="128" spans="1:7" x14ac:dyDescent="0.45">
      <c r="A128" s="3" t="s">
        <v>0</v>
      </c>
      <c r="B128" s="3" t="s">
        <v>1</v>
      </c>
      <c r="C128" s="4">
        <v>415</v>
      </c>
      <c r="D128" s="4">
        <v>183</v>
      </c>
      <c r="E128" s="3">
        <v>195</v>
      </c>
      <c r="F128" s="3">
        <v>4300</v>
      </c>
      <c r="G128" s="3" t="s">
        <v>2</v>
      </c>
    </row>
    <row r="129" spans="1:7" x14ac:dyDescent="0.45">
      <c r="A129" s="3" t="s">
        <v>0</v>
      </c>
      <c r="B129" s="3" t="s">
        <v>1</v>
      </c>
      <c r="C129" s="4">
        <v>390</v>
      </c>
      <c r="D129" s="4">
        <v>171</v>
      </c>
      <c r="E129" s="3">
        <v>191</v>
      </c>
      <c r="F129" s="3">
        <v>3050</v>
      </c>
      <c r="G129" s="3" t="s">
        <v>3</v>
      </c>
    </row>
    <row r="130" spans="1:7" x14ac:dyDescent="0.45">
      <c r="A130" s="3" t="s">
        <v>0</v>
      </c>
      <c r="B130" s="3" t="s">
        <v>1</v>
      </c>
      <c r="C130" s="4">
        <v>441</v>
      </c>
      <c r="D130" s="4">
        <v>180</v>
      </c>
      <c r="E130" s="3">
        <v>210</v>
      </c>
      <c r="F130" s="3">
        <v>4000</v>
      </c>
      <c r="G130" s="3" t="s">
        <v>2</v>
      </c>
    </row>
    <row r="131" spans="1:7" x14ac:dyDescent="0.45">
      <c r="A131" s="3" t="s">
        <v>0</v>
      </c>
      <c r="B131" s="3" t="s">
        <v>1</v>
      </c>
      <c r="C131" s="4">
        <v>385</v>
      </c>
      <c r="D131" s="4">
        <v>179</v>
      </c>
      <c r="E131" s="3">
        <v>190</v>
      </c>
      <c r="F131" s="3">
        <v>3325</v>
      </c>
      <c r="G131" s="3" t="s">
        <v>3</v>
      </c>
    </row>
    <row r="132" spans="1:7" x14ac:dyDescent="0.45">
      <c r="A132" s="3" t="s">
        <v>0</v>
      </c>
      <c r="B132" s="3" t="s">
        <v>1</v>
      </c>
      <c r="C132" s="4">
        <v>431</v>
      </c>
      <c r="D132" s="4">
        <v>192</v>
      </c>
      <c r="E132" s="3">
        <v>197</v>
      </c>
      <c r="F132" s="3">
        <v>3500</v>
      </c>
      <c r="G132" s="3" t="s">
        <v>2</v>
      </c>
    </row>
    <row r="133" spans="1:7" x14ac:dyDescent="0.45">
      <c r="A133" s="3" t="s">
        <v>0</v>
      </c>
      <c r="B133" s="3" t="s">
        <v>5</v>
      </c>
      <c r="C133" s="4">
        <v>368</v>
      </c>
      <c r="D133" s="4">
        <v>185</v>
      </c>
      <c r="E133" s="3">
        <v>193</v>
      </c>
      <c r="F133" s="3">
        <v>3500</v>
      </c>
      <c r="G133" s="3" t="s">
        <v>3</v>
      </c>
    </row>
    <row r="134" spans="1:7" x14ac:dyDescent="0.45">
      <c r="A134" s="3" t="s">
        <v>0</v>
      </c>
      <c r="B134" s="3" t="s">
        <v>5</v>
      </c>
      <c r="C134" s="4">
        <v>375</v>
      </c>
      <c r="D134" s="4">
        <v>185</v>
      </c>
      <c r="E134" s="3">
        <v>199</v>
      </c>
      <c r="F134" s="3">
        <v>4475</v>
      </c>
      <c r="G134" s="3" t="s">
        <v>2</v>
      </c>
    </row>
    <row r="135" spans="1:7" x14ac:dyDescent="0.45">
      <c r="A135" s="3" t="s">
        <v>0</v>
      </c>
      <c r="B135" s="3" t="s">
        <v>5</v>
      </c>
      <c r="C135" s="4">
        <v>381</v>
      </c>
      <c r="D135" s="4">
        <v>176</v>
      </c>
      <c r="E135" s="3">
        <v>187</v>
      </c>
      <c r="F135" s="3">
        <v>3425</v>
      </c>
      <c r="G135" s="3" t="s">
        <v>3</v>
      </c>
    </row>
    <row r="136" spans="1:7" x14ac:dyDescent="0.45">
      <c r="A136" s="3" t="s">
        <v>0</v>
      </c>
      <c r="B136" s="3" t="s">
        <v>5</v>
      </c>
      <c r="C136" s="4">
        <v>411</v>
      </c>
      <c r="D136" s="4">
        <v>175</v>
      </c>
      <c r="E136" s="3">
        <v>190</v>
      </c>
      <c r="F136" s="3">
        <v>3900</v>
      </c>
      <c r="G136" s="3" t="s">
        <v>2</v>
      </c>
    </row>
    <row r="137" spans="1:7" x14ac:dyDescent="0.45">
      <c r="A137" s="3" t="s">
        <v>0</v>
      </c>
      <c r="B137" s="3" t="s">
        <v>5</v>
      </c>
      <c r="C137" s="4">
        <v>356</v>
      </c>
      <c r="D137" s="4">
        <v>175</v>
      </c>
      <c r="E137" s="3">
        <v>191</v>
      </c>
      <c r="F137" s="3">
        <v>3175</v>
      </c>
      <c r="G137" s="3" t="s">
        <v>3</v>
      </c>
    </row>
    <row r="138" spans="1:7" x14ac:dyDescent="0.45">
      <c r="A138" s="3" t="s">
        <v>0</v>
      </c>
      <c r="B138" s="3" t="s">
        <v>5</v>
      </c>
      <c r="C138" s="4">
        <v>402</v>
      </c>
      <c r="D138" s="4">
        <v>201</v>
      </c>
      <c r="E138" s="3">
        <v>200</v>
      </c>
      <c r="F138" s="3">
        <v>3975</v>
      </c>
      <c r="G138" s="3" t="s">
        <v>2</v>
      </c>
    </row>
    <row r="139" spans="1:7" x14ac:dyDescent="0.45">
      <c r="A139" s="3" t="s">
        <v>0</v>
      </c>
      <c r="B139" s="3" t="s">
        <v>5</v>
      </c>
      <c r="C139" s="4">
        <v>370</v>
      </c>
      <c r="D139" s="4">
        <v>165</v>
      </c>
      <c r="E139" s="3">
        <v>185</v>
      </c>
      <c r="F139" s="3">
        <v>3400</v>
      </c>
      <c r="G139" s="3" t="s">
        <v>3</v>
      </c>
    </row>
    <row r="140" spans="1:7" x14ac:dyDescent="0.45">
      <c r="A140" s="3" t="s">
        <v>0</v>
      </c>
      <c r="B140" s="3" t="s">
        <v>5</v>
      </c>
      <c r="C140" s="4">
        <v>397</v>
      </c>
      <c r="D140" s="4">
        <v>179</v>
      </c>
      <c r="E140" s="3">
        <v>193</v>
      </c>
      <c r="F140" s="3">
        <v>4250</v>
      </c>
      <c r="G140" s="3" t="s">
        <v>2</v>
      </c>
    </row>
    <row r="141" spans="1:7" x14ac:dyDescent="0.45">
      <c r="A141" s="3" t="s">
        <v>0</v>
      </c>
      <c r="B141" s="3" t="s">
        <v>5</v>
      </c>
      <c r="C141" s="4">
        <v>402</v>
      </c>
      <c r="D141" s="4">
        <v>171</v>
      </c>
      <c r="E141" s="3">
        <v>193</v>
      </c>
      <c r="F141" s="3">
        <v>3400</v>
      </c>
      <c r="G141" s="3" t="s">
        <v>3</v>
      </c>
    </row>
    <row r="142" spans="1:7" x14ac:dyDescent="0.45">
      <c r="A142" s="3" t="s">
        <v>0</v>
      </c>
      <c r="B142" s="3" t="s">
        <v>5</v>
      </c>
      <c r="C142" s="4">
        <v>406</v>
      </c>
      <c r="D142" s="4">
        <v>172</v>
      </c>
      <c r="E142" s="3">
        <v>187</v>
      </c>
      <c r="F142" s="3">
        <v>3475</v>
      </c>
      <c r="G142" s="3" t="s">
        <v>2</v>
      </c>
    </row>
    <row r="143" spans="1:7" x14ac:dyDescent="0.45">
      <c r="A143" s="3" t="s">
        <v>0</v>
      </c>
      <c r="B143" s="3" t="s">
        <v>5</v>
      </c>
      <c r="C143" s="4">
        <v>321</v>
      </c>
      <c r="D143" s="4">
        <v>155</v>
      </c>
      <c r="E143" s="3">
        <v>188</v>
      </c>
      <c r="F143" s="3">
        <v>3050</v>
      </c>
      <c r="G143" s="3" t="s">
        <v>3</v>
      </c>
    </row>
    <row r="144" spans="1:7" x14ac:dyDescent="0.45">
      <c r="A144" s="3" t="s">
        <v>0</v>
      </c>
      <c r="B144" s="3" t="s">
        <v>5</v>
      </c>
      <c r="C144" s="4">
        <v>407</v>
      </c>
      <c r="D144" s="4">
        <v>170</v>
      </c>
      <c r="E144" s="3">
        <v>190</v>
      </c>
      <c r="F144" s="3">
        <v>3725</v>
      </c>
      <c r="G144" s="3" t="s">
        <v>2</v>
      </c>
    </row>
    <row r="145" spans="1:7" x14ac:dyDescent="0.45">
      <c r="A145" s="3" t="s">
        <v>0</v>
      </c>
      <c r="B145" s="3" t="s">
        <v>5</v>
      </c>
      <c r="C145" s="4">
        <v>373</v>
      </c>
      <c r="D145" s="4">
        <v>168</v>
      </c>
      <c r="E145" s="3">
        <v>192</v>
      </c>
      <c r="F145" s="3">
        <v>3000</v>
      </c>
      <c r="G145" s="3" t="s">
        <v>3</v>
      </c>
    </row>
    <row r="146" spans="1:7" x14ac:dyDescent="0.45">
      <c r="A146" s="3" t="s">
        <v>0</v>
      </c>
      <c r="B146" s="3" t="s">
        <v>5</v>
      </c>
      <c r="C146" s="4">
        <v>390</v>
      </c>
      <c r="D146" s="4">
        <v>187</v>
      </c>
      <c r="E146" s="3">
        <v>185</v>
      </c>
      <c r="F146" s="3">
        <v>3650</v>
      </c>
      <c r="G146" s="3" t="s">
        <v>2</v>
      </c>
    </row>
    <row r="147" spans="1:7" x14ac:dyDescent="0.45">
      <c r="A147" s="3" t="s">
        <v>0</v>
      </c>
      <c r="B147" s="3" t="s">
        <v>5</v>
      </c>
      <c r="C147" s="4">
        <v>392</v>
      </c>
      <c r="D147" s="4">
        <v>186</v>
      </c>
      <c r="E147" s="3">
        <v>190</v>
      </c>
      <c r="F147" s="3">
        <v>4250</v>
      </c>
      <c r="G147" s="3" t="s">
        <v>2</v>
      </c>
    </row>
    <row r="148" spans="1:7" x14ac:dyDescent="0.45">
      <c r="A148" s="3" t="s">
        <v>0</v>
      </c>
      <c r="B148" s="3" t="s">
        <v>5</v>
      </c>
      <c r="C148" s="4">
        <v>366</v>
      </c>
      <c r="D148" s="4">
        <v>184</v>
      </c>
      <c r="E148" s="3">
        <v>184</v>
      </c>
      <c r="F148" s="3">
        <v>3475</v>
      </c>
      <c r="G148" s="3" t="s">
        <v>3</v>
      </c>
    </row>
    <row r="149" spans="1:7" x14ac:dyDescent="0.45">
      <c r="A149" s="3" t="s">
        <v>0</v>
      </c>
      <c r="B149" s="3" t="s">
        <v>5</v>
      </c>
      <c r="C149" s="4">
        <v>360</v>
      </c>
      <c r="D149" s="4">
        <v>178</v>
      </c>
      <c r="E149" s="3">
        <v>195</v>
      </c>
      <c r="F149" s="3">
        <v>3450</v>
      </c>
      <c r="G149" s="3" t="s">
        <v>3</v>
      </c>
    </row>
    <row r="150" spans="1:7" x14ac:dyDescent="0.45">
      <c r="A150" s="3" t="s">
        <v>0</v>
      </c>
      <c r="B150" s="3" t="s">
        <v>5</v>
      </c>
      <c r="C150" s="4">
        <v>378</v>
      </c>
      <c r="D150" s="4">
        <v>181</v>
      </c>
      <c r="E150" s="3">
        <v>193</v>
      </c>
      <c r="F150" s="3">
        <v>3750</v>
      </c>
      <c r="G150" s="3" t="s">
        <v>2</v>
      </c>
    </row>
    <row r="151" spans="1:7" x14ac:dyDescent="0.45">
      <c r="A151" s="3" t="s">
        <v>0</v>
      </c>
      <c r="B151" s="3" t="s">
        <v>5</v>
      </c>
      <c r="C151" s="4">
        <v>360</v>
      </c>
      <c r="D151" s="4">
        <v>171</v>
      </c>
      <c r="E151" s="3">
        <v>187</v>
      </c>
      <c r="F151" s="3">
        <v>3700</v>
      </c>
      <c r="G151" s="3" t="s">
        <v>3</v>
      </c>
    </row>
    <row r="152" spans="1:7" x14ac:dyDescent="0.45">
      <c r="A152" s="3" t="s">
        <v>0</v>
      </c>
      <c r="B152" s="3" t="s">
        <v>5</v>
      </c>
      <c r="C152" s="4">
        <v>415</v>
      </c>
      <c r="D152" s="4">
        <v>185</v>
      </c>
      <c r="E152" s="3">
        <v>201</v>
      </c>
      <c r="F152" s="3">
        <v>4000</v>
      </c>
      <c r="G152" s="3" t="s">
        <v>2</v>
      </c>
    </row>
    <row r="153" spans="1:7" x14ac:dyDescent="0.45">
      <c r="A153" s="3" t="s">
        <v>6</v>
      </c>
      <c r="B153" s="3" t="s">
        <v>5</v>
      </c>
      <c r="C153" s="4">
        <v>465</v>
      </c>
      <c r="D153" s="4">
        <v>179</v>
      </c>
      <c r="E153" s="3">
        <v>192</v>
      </c>
      <c r="F153" s="3">
        <v>3500</v>
      </c>
      <c r="G153" s="3" t="s">
        <v>3</v>
      </c>
    </row>
    <row r="154" spans="1:7" x14ac:dyDescent="0.45">
      <c r="A154" s="3" t="s">
        <v>6</v>
      </c>
      <c r="B154" s="3" t="s">
        <v>5</v>
      </c>
      <c r="C154" s="4">
        <v>500</v>
      </c>
      <c r="D154" s="4">
        <v>195</v>
      </c>
      <c r="E154" s="3">
        <v>196</v>
      </c>
      <c r="F154" s="3">
        <v>3900</v>
      </c>
      <c r="G154" s="3" t="s">
        <v>2</v>
      </c>
    </row>
    <row r="155" spans="1:7" x14ac:dyDescent="0.45">
      <c r="A155" s="3" t="s">
        <v>6</v>
      </c>
      <c r="B155" s="3" t="s">
        <v>5</v>
      </c>
      <c r="C155" s="4">
        <v>513</v>
      </c>
      <c r="D155" s="4">
        <v>192</v>
      </c>
      <c r="E155" s="3">
        <v>193</v>
      </c>
      <c r="F155" s="3">
        <v>3650</v>
      </c>
      <c r="G155" s="3" t="s">
        <v>2</v>
      </c>
    </row>
    <row r="156" spans="1:7" x14ac:dyDescent="0.45">
      <c r="A156" s="3" t="s">
        <v>6</v>
      </c>
      <c r="B156" s="3" t="s">
        <v>5</v>
      </c>
      <c r="C156" s="4">
        <v>454</v>
      </c>
      <c r="D156" s="4">
        <v>187</v>
      </c>
      <c r="E156" s="3">
        <v>188</v>
      </c>
      <c r="F156" s="3">
        <v>3525</v>
      </c>
      <c r="G156" s="3" t="s">
        <v>3</v>
      </c>
    </row>
    <row r="157" spans="1:7" x14ac:dyDescent="0.45">
      <c r="A157" s="3" t="s">
        <v>6</v>
      </c>
      <c r="B157" s="3" t="s">
        <v>5</v>
      </c>
      <c r="C157" s="4">
        <v>527</v>
      </c>
      <c r="D157" s="4">
        <v>198</v>
      </c>
      <c r="E157" s="3">
        <v>197</v>
      </c>
      <c r="F157" s="3">
        <v>3725</v>
      </c>
      <c r="G157" s="3" t="s">
        <v>2</v>
      </c>
    </row>
    <row r="158" spans="1:7" x14ac:dyDescent="0.45">
      <c r="A158" s="3" t="s">
        <v>6</v>
      </c>
      <c r="B158" s="3" t="s">
        <v>5</v>
      </c>
      <c r="C158" s="4">
        <v>452</v>
      </c>
      <c r="D158" s="4">
        <v>178</v>
      </c>
      <c r="E158" s="3">
        <v>198</v>
      </c>
      <c r="F158" s="3">
        <v>3950</v>
      </c>
      <c r="G158" s="3" t="s">
        <v>3</v>
      </c>
    </row>
    <row r="159" spans="1:7" x14ac:dyDescent="0.45">
      <c r="A159" s="3" t="s">
        <v>6</v>
      </c>
      <c r="B159" s="3" t="s">
        <v>5</v>
      </c>
      <c r="C159" s="4">
        <v>461</v>
      </c>
      <c r="D159" s="4">
        <v>182</v>
      </c>
      <c r="E159" s="3">
        <v>178</v>
      </c>
      <c r="F159" s="3">
        <v>3250</v>
      </c>
      <c r="G159" s="3" t="s">
        <v>3</v>
      </c>
    </row>
    <row r="160" spans="1:7" x14ac:dyDescent="0.45">
      <c r="A160" s="3" t="s">
        <v>6</v>
      </c>
      <c r="B160" s="3" t="s">
        <v>5</v>
      </c>
      <c r="C160" s="4">
        <v>513</v>
      </c>
      <c r="D160" s="4">
        <v>182</v>
      </c>
      <c r="E160" s="3">
        <v>197</v>
      </c>
      <c r="F160" s="3">
        <v>3750</v>
      </c>
      <c r="G160" s="3" t="s">
        <v>2</v>
      </c>
    </row>
    <row r="161" spans="1:7" x14ac:dyDescent="0.45">
      <c r="A161" s="3" t="s">
        <v>6</v>
      </c>
      <c r="B161" s="3" t="s">
        <v>5</v>
      </c>
      <c r="C161" s="4">
        <v>460</v>
      </c>
      <c r="D161" s="4">
        <v>189</v>
      </c>
      <c r="E161" s="3">
        <v>195</v>
      </c>
      <c r="F161" s="3">
        <v>4150</v>
      </c>
      <c r="G161" s="3" t="s">
        <v>3</v>
      </c>
    </row>
    <row r="162" spans="1:7" x14ac:dyDescent="0.45">
      <c r="A162" s="3" t="s">
        <v>6</v>
      </c>
      <c r="B162" s="3" t="s">
        <v>5</v>
      </c>
      <c r="C162" s="4">
        <v>513</v>
      </c>
      <c r="D162" s="4">
        <v>199</v>
      </c>
      <c r="E162" s="3">
        <v>198</v>
      </c>
      <c r="F162" s="3">
        <v>3700</v>
      </c>
      <c r="G162" s="3" t="s">
        <v>2</v>
      </c>
    </row>
    <row r="163" spans="1:7" x14ac:dyDescent="0.45">
      <c r="A163" s="3" t="s">
        <v>6</v>
      </c>
      <c r="B163" s="3" t="s">
        <v>5</v>
      </c>
      <c r="C163" s="4">
        <v>466</v>
      </c>
      <c r="D163" s="4">
        <v>178</v>
      </c>
      <c r="E163" s="3">
        <v>193</v>
      </c>
      <c r="F163" s="3">
        <v>3800</v>
      </c>
      <c r="G163" s="3" t="s">
        <v>3</v>
      </c>
    </row>
    <row r="164" spans="1:7" x14ac:dyDescent="0.45">
      <c r="A164" s="3" t="s">
        <v>6</v>
      </c>
      <c r="B164" s="3" t="s">
        <v>5</v>
      </c>
      <c r="C164" s="4">
        <v>517</v>
      </c>
      <c r="D164" s="4">
        <v>203</v>
      </c>
      <c r="E164" s="3">
        <v>194</v>
      </c>
      <c r="F164" s="3">
        <v>3775</v>
      </c>
      <c r="G164" s="3" t="s">
        <v>2</v>
      </c>
    </row>
    <row r="165" spans="1:7" x14ac:dyDescent="0.45">
      <c r="A165" s="3" t="s">
        <v>6</v>
      </c>
      <c r="B165" s="3" t="s">
        <v>5</v>
      </c>
      <c r="C165" s="4">
        <v>470</v>
      </c>
      <c r="D165" s="4">
        <v>173</v>
      </c>
      <c r="E165" s="3">
        <v>185</v>
      </c>
      <c r="F165" s="3">
        <v>3700</v>
      </c>
      <c r="G165" s="3" t="s">
        <v>3</v>
      </c>
    </row>
    <row r="166" spans="1:7" x14ac:dyDescent="0.45">
      <c r="A166" s="3" t="s">
        <v>6</v>
      </c>
      <c r="B166" s="3" t="s">
        <v>5</v>
      </c>
      <c r="C166" s="4">
        <v>520</v>
      </c>
      <c r="D166" s="4">
        <v>181</v>
      </c>
      <c r="E166" s="3">
        <v>201</v>
      </c>
      <c r="F166" s="3">
        <v>4050</v>
      </c>
      <c r="G166" s="3" t="s">
        <v>2</v>
      </c>
    </row>
    <row r="167" spans="1:7" x14ac:dyDescent="0.45">
      <c r="A167" s="3" t="s">
        <v>6</v>
      </c>
      <c r="B167" s="3" t="s">
        <v>5</v>
      </c>
      <c r="C167" s="4">
        <v>459</v>
      </c>
      <c r="D167" s="4">
        <v>171</v>
      </c>
      <c r="E167" s="3">
        <v>190</v>
      </c>
      <c r="F167" s="3">
        <v>3575</v>
      </c>
      <c r="G167" s="3" t="s">
        <v>3</v>
      </c>
    </row>
    <row r="168" spans="1:7" x14ac:dyDescent="0.45">
      <c r="A168" s="3" t="s">
        <v>6</v>
      </c>
      <c r="B168" s="3" t="s">
        <v>5</v>
      </c>
      <c r="C168" s="4">
        <v>505</v>
      </c>
      <c r="D168" s="4">
        <v>196</v>
      </c>
      <c r="E168" s="3">
        <v>201</v>
      </c>
      <c r="F168" s="3">
        <v>4050</v>
      </c>
      <c r="G168" s="3" t="s">
        <v>2</v>
      </c>
    </row>
    <row r="169" spans="1:7" x14ac:dyDescent="0.45">
      <c r="A169" s="3" t="s">
        <v>6</v>
      </c>
      <c r="B169" s="3" t="s">
        <v>5</v>
      </c>
      <c r="C169" s="4">
        <v>503</v>
      </c>
      <c r="D169" s="4">
        <v>200</v>
      </c>
      <c r="E169" s="3">
        <v>197</v>
      </c>
      <c r="F169" s="3">
        <v>3300</v>
      </c>
      <c r="G169" s="3" t="s">
        <v>2</v>
      </c>
    </row>
    <row r="170" spans="1:7" x14ac:dyDescent="0.45">
      <c r="A170" s="3" t="s">
        <v>6</v>
      </c>
      <c r="B170" s="3" t="s">
        <v>5</v>
      </c>
      <c r="C170" s="4">
        <v>580</v>
      </c>
      <c r="D170" s="4">
        <v>178</v>
      </c>
      <c r="E170" s="3">
        <v>181</v>
      </c>
      <c r="F170" s="3">
        <v>3700</v>
      </c>
      <c r="G170" s="3" t="s">
        <v>3</v>
      </c>
    </row>
    <row r="171" spans="1:7" x14ac:dyDescent="0.45">
      <c r="A171" s="3" t="s">
        <v>6</v>
      </c>
      <c r="B171" s="3" t="s">
        <v>5</v>
      </c>
      <c r="C171" s="4">
        <v>464</v>
      </c>
      <c r="D171" s="4">
        <v>186</v>
      </c>
      <c r="E171" s="3">
        <v>190</v>
      </c>
      <c r="F171" s="3">
        <v>3450</v>
      </c>
      <c r="G171" s="3" t="s">
        <v>3</v>
      </c>
    </row>
    <row r="172" spans="1:7" x14ac:dyDescent="0.45">
      <c r="A172" s="3" t="s">
        <v>6</v>
      </c>
      <c r="B172" s="3" t="s">
        <v>5</v>
      </c>
      <c r="C172" s="4">
        <v>492</v>
      </c>
      <c r="D172" s="4">
        <v>182</v>
      </c>
      <c r="E172" s="3">
        <v>195</v>
      </c>
      <c r="F172" s="3">
        <v>4400</v>
      </c>
      <c r="G172" s="3" t="s">
        <v>2</v>
      </c>
    </row>
    <row r="173" spans="1:7" x14ac:dyDescent="0.45">
      <c r="A173" s="3" t="s">
        <v>6</v>
      </c>
      <c r="B173" s="3" t="s">
        <v>5</v>
      </c>
      <c r="C173" s="4">
        <v>424</v>
      </c>
      <c r="D173" s="4">
        <v>173</v>
      </c>
      <c r="E173" s="3">
        <v>181</v>
      </c>
      <c r="F173" s="3">
        <v>3600</v>
      </c>
      <c r="G173" s="3" t="s">
        <v>3</v>
      </c>
    </row>
    <row r="174" spans="1:7" x14ac:dyDescent="0.45">
      <c r="A174" s="3" t="s">
        <v>6</v>
      </c>
      <c r="B174" s="3" t="s">
        <v>5</v>
      </c>
      <c r="C174" s="4">
        <v>485</v>
      </c>
      <c r="D174" s="4">
        <v>175</v>
      </c>
      <c r="E174" s="3">
        <v>191</v>
      </c>
      <c r="F174" s="3">
        <v>3400</v>
      </c>
      <c r="G174" s="3" t="s">
        <v>2</v>
      </c>
    </row>
    <row r="175" spans="1:7" x14ac:dyDescent="0.45">
      <c r="A175" s="3" t="s">
        <v>6</v>
      </c>
      <c r="B175" s="3" t="s">
        <v>5</v>
      </c>
      <c r="C175" s="4">
        <v>432</v>
      </c>
      <c r="D175" s="4">
        <v>166</v>
      </c>
      <c r="E175" s="3">
        <v>187</v>
      </c>
      <c r="F175" s="3">
        <v>2900</v>
      </c>
      <c r="G175" s="3" t="s">
        <v>3</v>
      </c>
    </row>
    <row r="176" spans="1:7" x14ac:dyDescent="0.45">
      <c r="A176" s="3" t="s">
        <v>6</v>
      </c>
      <c r="B176" s="3" t="s">
        <v>5</v>
      </c>
      <c r="C176" s="4">
        <v>506</v>
      </c>
      <c r="D176" s="4">
        <v>194</v>
      </c>
      <c r="E176" s="3">
        <v>193</v>
      </c>
      <c r="F176" s="3">
        <v>3800</v>
      </c>
      <c r="G176" s="3" t="s">
        <v>2</v>
      </c>
    </row>
    <row r="177" spans="1:7" x14ac:dyDescent="0.45">
      <c r="A177" s="3" t="s">
        <v>6</v>
      </c>
      <c r="B177" s="3" t="s">
        <v>5</v>
      </c>
      <c r="C177" s="4">
        <v>467</v>
      </c>
      <c r="D177" s="4">
        <v>179</v>
      </c>
      <c r="E177" s="3">
        <v>195</v>
      </c>
      <c r="F177" s="3">
        <v>3300</v>
      </c>
      <c r="G177" s="3" t="s">
        <v>3</v>
      </c>
    </row>
    <row r="178" spans="1:7" x14ac:dyDescent="0.45">
      <c r="A178" s="3" t="s">
        <v>6</v>
      </c>
      <c r="B178" s="3" t="s">
        <v>5</v>
      </c>
      <c r="C178" s="4">
        <v>520</v>
      </c>
      <c r="D178" s="4">
        <v>190</v>
      </c>
      <c r="E178" s="3">
        <v>197</v>
      </c>
      <c r="F178" s="3">
        <v>4150</v>
      </c>
      <c r="G178" s="3" t="s">
        <v>2</v>
      </c>
    </row>
    <row r="179" spans="1:7" x14ac:dyDescent="0.45">
      <c r="A179" s="3" t="s">
        <v>6</v>
      </c>
      <c r="B179" s="3" t="s">
        <v>5</v>
      </c>
      <c r="C179" s="4">
        <v>505</v>
      </c>
      <c r="D179" s="4">
        <v>184</v>
      </c>
      <c r="E179" s="3">
        <v>200</v>
      </c>
      <c r="F179" s="3">
        <v>3400</v>
      </c>
      <c r="G179" s="3" t="s">
        <v>3</v>
      </c>
    </row>
    <row r="180" spans="1:7" x14ac:dyDescent="0.45">
      <c r="A180" s="3" t="s">
        <v>6</v>
      </c>
      <c r="B180" s="3" t="s">
        <v>5</v>
      </c>
      <c r="C180" s="4">
        <v>495</v>
      </c>
      <c r="D180" s="4">
        <v>190</v>
      </c>
      <c r="E180" s="3">
        <v>200</v>
      </c>
      <c r="F180" s="3">
        <v>3800</v>
      </c>
      <c r="G180" s="3" t="s">
        <v>2</v>
      </c>
    </row>
    <row r="181" spans="1:7" x14ac:dyDescent="0.45">
      <c r="A181" s="3" t="s">
        <v>6</v>
      </c>
      <c r="B181" s="3" t="s">
        <v>5</v>
      </c>
      <c r="C181" s="4">
        <v>464</v>
      </c>
      <c r="D181" s="4">
        <v>178</v>
      </c>
      <c r="E181" s="3">
        <v>191</v>
      </c>
      <c r="F181" s="3">
        <v>3700</v>
      </c>
      <c r="G181" s="3" t="s">
        <v>3</v>
      </c>
    </row>
    <row r="182" spans="1:7" x14ac:dyDescent="0.45">
      <c r="A182" s="3" t="s">
        <v>6</v>
      </c>
      <c r="B182" s="3" t="s">
        <v>5</v>
      </c>
      <c r="C182" s="4">
        <v>528</v>
      </c>
      <c r="D182" s="4">
        <v>200</v>
      </c>
      <c r="E182" s="3">
        <v>205</v>
      </c>
      <c r="F182" s="3">
        <v>4550</v>
      </c>
      <c r="G182" s="3" t="s">
        <v>2</v>
      </c>
    </row>
    <row r="183" spans="1:7" x14ac:dyDescent="0.45">
      <c r="A183" s="3" t="s">
        <v>6</v>
      </c>
      <c r="B183" s="3" t="s">
        <v>5</v>
      </c>
      <c r="C183" s="4">
        <v>409</v>
      </c>
      <c r="D183" s="4">
        <v>166</v>
      </c>
      <c r="E183" s="3">
        <v>187</v>
      </c>
      <c r="F183" s="3">
        <v>3200</v>
      </c>
      <c r="G183" s="3" t="s">
        <v>3</v>
      </c>
    </row>
    <row r="184" spans="1:7" x14ac:dyDescent="0.45">
      <c r="A184" s="3" t="s">
        <v>6</v>
      </c>
      <c r="B184" s="3" t="s">
        <v>5</v>
      </c>
      <c r="C184" s="4">
        <v>542</v>
      </c>
      <c r="D184" s="4">
        <v>208</v>
      </c>
      <c r="E184" s="3">
        <v>201</v>
      </c>
      <c r="F184" s="3">
        <v>4300</v>
      </c>
      <c r="G184" s="3" t="s">
        <v>2</v>
      </c>
    </row>
    <row r="185" spans="1:7" x14ac:dyDescent="0.45">
      <c r="A185" s="3" t="s">
        <v>6</v>
      </c>
      <c r="B185" s="3" t="s">
        <v>5</v>
      </c>
      <c r="C185" s="4">
        <v>425</v>
      </c>
      <c r="D185" s="4">
        <v>167</v>
      </c>
      <c r="E185" s="3">
        <v>187</v>
      </c>
      <c r="F185" s="3">
        <v>3350</v>
      </c>
      <c r="G185" s="3" t="s">
        <v>3</v>
      </c>
    </row>
    <row r="186" spans="1:7" x14ac:dyDescent="0.45">
      <c r="A186" s="3" t="s">
        <v>6</v>
      </c>
      <c r="B186" s="3" t="s">
        <v>5</v>
      </c>
      <c r="C186" s="4">
        <v>510</v>
      </c>
      <c r="D186" s="4">
        <v>188</v>
      </c>
      <c r="E186" s="3">
        <v>203</v>
      </c>
      <c r="F186" s="3">
        <v>4100</v>
      </c>
      <c r="G186" s="3" t="s">
        <v>2</v>
      </c>
    </row>
    <row r="187" spans="1:7" x14ac:dyDescent="0.45">
      <c r="A187" s="3" t="s">
        <v>6</v>
      </c>
      <c r="B187" s="3" t="s">
        <v>5</v>
      </c>
      <c r="C187" s="4">
        <v>497</v>
      </c>
      <c r="D187" s="4">
        <v>186</v>
      </c>
      <c r="E187" s="3">
        <v>195</v>
      </c>
      <c r="F187" s="3">
        <v>3600</v>
      </c>
      <c r="G187" s="3" t="s">
        <v>2</v>
      </c>
    </row>
    <row r="188" spans="1:7" x14ac:dyDescent="0.45">
      <c r="A188" s="3" t="s">
        <v>6</v>
      </c>
      <c r="B188" s="3" t="s">
        <v>5</v>
      </c>
      <c r="C188" s="4">
        <v>475</v>
      </c>
      <c r="D188" s="4">
        <v>168</v>
      </c>
      <c r="E188" s="3">
        <v>199</v>
      </c>
      <c r="F188" s="3">
        <v>3900</v>
      </c>
      <c r="G188" s="3" t="s">
        <v>3</v>
      </c>
    </row>
    <row r="189" spans="1:7" x14ac:dyDescent="0.45">
      <c r="A189" s="3" t="s">
        <v>6</v>
      </c>
      <c r="B189" s="3" t="s">
        <v>5</v>
      </c>
      <c r="C189" s="4">
        <v>476</v>
      </c>
      <c r="D189" s="4">
        <v>183</v>
      </c>
      <c r="E189" s="3">
        <v>195</v>
      </c>
      <c r="F189" s="3">
        <v>3850</v>
      </c>
      <c r="G189" s="3" t="s">
        <v>3</v>
      </c>
    </row>
    <row r="190" spans="1:7" x14ac:dyDescent="0.45">
      <c r="A190" s="3" t="s">
        <v>6</v>
      </c>
      <c r="B190" s="3" t="s">
        <v>5</v>
      </c>
      <c r="C190" s="4">
        <v>520</v>
      </c>
      <c r="D190" s="4">
        <v>207</v>
      </c>
      <c r="E190" s="3">
        <v>210</v>
      </c>
      <c r="F190" s="3">
        <v>4800</v>
      </c>
      <c r="G190" s="3" t="s">
        <v>2</v>
      </c>
    </row>
    <row r="191" spans="1:7" x14ac:dyDescent="0.45">
      <c r="A191" s="3" t="s">
        <v>6</v>
      </c>
      <c r="B191" s="3" t="s">
        <v>5</v>
      </c>
      <c r="C191" s="4">
        <v>469</v>
      </c>
      <c r="D191" s="4">
        <v>166</v>
      </c>
      <c r="E191" s="3">
        <v>192</v>
      </c>
      <c r="F191" s="3">
        <v>2700</v>
      </c>
      <c r="G191" s="3" t="s">
        <v>3</v>
      </c>
    </row>
    <row r="192" spans="1:7" x14ac:dyDescent="0.45">
      <c r="A192" s="3" t="s">
        <v>6</v>
      </c>
      <c r="B192" s="3" t="s">
        <v>5</v>
      </c>
      <c r="C192" s="4">
        <v>535</v>
      </c>
      <c r="D192" s="4">
        <v>199</v>
      </c>
      <c r="E192" s="3">
        <v>205</v>
      </c>
      <c r="F192" s="3">
        <v>4500</v>
      </c>
      <c r="G192" s="3" t="s">
        <v>2</v>
      </c>
    </row>
    <row r="193" spans="1:7" x14ac:dyDescent="0.45">
      <c r="A193" s="3" t="s">
        <v>6</v>
      </c>
      <c r="B193" s="3" t="s">
        <v>5</v>
      </c>
      <c r="C193" s="4">
        <v>490</v>
      </c>
      <c r="D193" s="4">
        <v>195</v>
      </c>
      <c r="E193" s="3">
        <v>210</v>
      </c>
      <c r="F193" s="3">
        <v>3950</v>
      </c>
      <c r="G193" s="3" t="s">
        <v>2</v>
      </c>
    </row>
    <row r="194" spans="1:7" x14ac:dyDescent="0.45">
      <c r="A194" s="3" t="s">
        <v>6</v>
      </c>
      <c r="B194" s="3" t="s">
        <v>5</v>
      </c>
      <c r="C194" s="4">
        <v>462</v>
      </c>
      <c r="D194" s="4">
        <v>175</v>
      </c>
      <c r="E194" s="3">
        <v>187</v>
      </c>
      <c r="F194" s="3">
        <v>3650</v>
      </c>
      <c r="G194" s="3" t="s">
        <v>3</v>
      </c>
    </row>
    <row r="195" spans="1:7" x14ac:dyDescent="0.45">
      <c r="A195" s="3" t="s">
        <v>6</v>
      </c>
      <c r="B195" s="3" t="s">
        <v>5</v>
      </c>
      <c r="C195" s="4">
        <v>509</v>
      </c>
      <c r="D195" s="4">
        <v>191</v>
      </c>
      <c r="E195" s="3">
        <v>196</v>
      </c>
      <c r="F195" s="3">
        <v>3550</v>
      </c>
      <c r="G195" s="3" t="s">
        <v>2</v>
      </c>
    </row>
    <row r="196" spans="1:7" x14ac:dyDescent="0.45">
      <c r="A196" s="3" t="s">
        <v>6</v>
      </c>
      <c r="B196" s="3" t="s">
        <v>5</v>
      </c>
      <c r="C196" s="4">
        <v>455</v>
      </c>
      <c r="D196" s="4">
        <v>170</v>
      </c>
      <c r="E196" s="3">
        <v>196</v>
      </c>
      <c r="F196" s="3">
        <v>3500</v>
      </c>
      <c r="G196" s="3" t="s">
        <v>3</v>
      </c>
    </row>
    <row r="197" spans="1:7" x14ac:dyDescent="0.45">
      <c r="A197" s="3" t="s">
        <v>6</v>
      </c>
      <c r="B197" s="3" t="s">
        <v>5</v>
      </c>
      <c r="C197" s="4">
        <v>509</v>
      </c>
      <c r="D197" s="4">
        <v>179</v>
      </c>
      <c r="E197" s="3">
        <v>196</v>
      </c>
      <c r="F197" s="3">
        <v>3675</v>
      </c>
      <c r="G197" s="3" t="s">
        <v>3</v>
      </c>
    </row>
    <row r="198" spans="1:7" x14ac:dyDescent="0.45">
      <c r="A198" s="3" t="s">
        <v>6</v>
      </c>
      <c r="B198" s="3" t="s">
        <v>5</v>
      </c>
      <c r="C198" s="4">
        <v>508</v>
      </c>
      <c r="D198" s="4">
        <v>185</v>
      </c>
      <c r="E198" s="3">
        <v>201</v>
      </c>
      <c r="F198" s="3">
        <v>4450</v>
      </c>
      <c r="G198" s="3" t="s">
        <v>2</v>
      </c>
    </row>
    <row r="199" spans="1:7" x14ac:dyDescent="0.45">
      <c r="A199" s="3" t="s">
        <v>6</v>
      </c>
      <c r="B199" s="3" t="s">
        <v>5</v>
      </c>
      <c r="C199" s="4">
        <v>501</v>
      </c>
      <c r="D199" s="4">
        <v>179</v>
      </c>
      <c r="E199" s="3">
        <v>190</v>
      </c>
      <c r="F199" s="3">
        <v>3400</v>
      </c>
      <c r="G199" s="3" t="s">
        <v>3</v>
      </c>
    </row>
    <row r="200" spans="1:7" x14ac:dyDescent="0.45">
      <c r="A200" s="3" t="s">
        <v>6</v>
      </c>
      <c r="B200" s="3" t="s">
        <v>5</v>
      </c>
      <c r="C200" s="4">
        <v>490</v>
      </c>
      <c r="D200" s="4">
        <v>196</v>
      </c>
      <c r="E200" s="3">
        <v>212</v>
      </c>
      <c r="F200" s="3">
        <v>4300</v>
      </c>
      <c r="G200" s="3" t="s">
        <v>2</v>
      </c>
    </row>
    <row r="201" spans="1:7" x14ac:dyDescent="0.45">
      <c r="A201" s="3" t="s">
        <v>6</v>
      </c>
      <c r="B201" s="3" t="s">
        <v>5</v>
      </c>
      <c r="C201" s="4">
        <v>515</v>
      </c>
      <c r="D201" s="4">
        <v>187</v>
      </c>
      <c r="E201" s="3">
        <v>187</v>
      </c>
      <c r="F201" s="3">
        <v>3250</v>
      </c>
      <c r="G201" s="3" t="s">
        <v>2</v>
      </c>
    </row>
    <row r="202" spans="1:7" x14ac:dyDescent="0.45">
      <c r="A202" s="3" t="s">
        <v>6</v>
      </c>
      <c r="B202" s="3" t="s">
        <v>5</v>
      </c>
      <c r="C202" s="4">
        <v>498</v>
      </c>
      <c r="D202" s="4">
        <v>173</v>
      </c>
      <c r="E202" s="3">
        <v>198</v>
      </c>
      <c r="F202" s="3">
        <v>3675</v>
      </c>
      <c r="G202" s="3" t="s">
        <v>3</v>
      </c>
    </row>
    <row r="203" spans="1:7" x14ac:dyDescent="0.45">
      <c r="A203" s="3" t="s">
        <v>6</v>
      </c>
      <c r="B203" s="3" t="s">
        <v>5</v>
      </c>
      <c r="C203" s="4">
        <v>481</v>
      </c>
      <c r="D203" s="4">
        <v>164</v>
      </c>
      <c r="E203" s="3">
        <v>199</v>
      </c>
      <c r="F203" s="3">
        <v>3325</v>
      </c>
      <c r="G203" s="3" t="s">
        <v>3</v>
      </c>
    </row>
    <row r="204" spans="1:7" x14ac:dyDescent="0.45">
      <c r="A204" s="3" t="s">
        <v>6</v>
      </c>
      <c r="B204" s="3" t="s">
        <v>5</v>
      </c>
      <c r="C204" s="4">
        <v>514</v>
      </c>
      <c r="D204" s="4">
        <v>190</v>
      </c>
      <c r="E204" s="3">
        <v>201</v>
      </c>
      <c r="F204" s="3">
        <v>3950</v>
      </c>
      <c r="G204" s="3" t="s">
        <v>2</v>
      </c>
    </row>
    <row r="205" spans="1:7" x14ac:dyDescent="0.45">
      <c r="A205" s="3" t="s">
        <v>6</v>
      </c>
      <c r="B205" s="3" t="s">
        <v>5</v>
      </c>
      <c r="C205" s="4">
        <v>457</v>
      </c>
      <c r="D205" s="4">
        <v>173</v>
      </c>
      <c r="E205" s="3">
        <v>193</v>
      </c>
      <c r="F205" s="3">
        <v>3600</v>
      </c>
      <c r="G205" s="3" t="s">
        <v>3</v>
      </c>
    </row>
    <row r="206" spans="1:7" x14ac:dyDescent="0.45">
      <c r="A206" s="3" t="s">
        <v>6</v>
      </c>
      <c r="B206" s="3" t="s">
        <v>5</v>
      </c>
      <c r="C206" s="4">
        <v>507</v>
      </c>
      <c r="D206" s="4">
        <v>197</v>
      </c>
      <c r="E206" s="3">
        <v>203</v>
      </c>
      <c r="F206" s="3">
        <v>4050</v>
      </c>
      <c r="G206" s="3" t="s">
        <v>2</v>
      </c>
    </row>
    <row r="207" spans="1:7" x14ac:dyDescent="0.45">
      <c r="A207" s="3" t="s">
        <v>6</v>
      </c>
      <c r="B207" s="3" t="s">
        <v>5</v>
      </c>
      <c r="C207" s="4">
        <v>425</v>
      </c>
      <c r="D207" s="4">
        <v>173</v>
      </c>
      <c r="E207" s="3">
        <v>187</v>
      </c>
      <c r="F207" s="3">
        <v>3350</v>
      </c>
      <c r="G207" s="3" t="s">
        <v>3</v>
      </c>
    </row>
    <row r="208" spans="1:7" x14ac:dyDescent="0.45">
      <c r="A208" s="3" t="s">
        <v>6</v>
      </c>
      <c r="B208" s="3" t="s">
        <v>5</v>
      </c>
      <c r="C208" s="4">
        <v>522</v>
      </c>
      <c r="D208" s="4">
        <v>188</v>
      </c>
      <c r="E208" s="3">
        <v>197</v>
      </c>
      <c r="F208" s="3">
        <v>3450</v>
      </c>
      <c r="G208" s="3" t="s">
        <v>2</v>
      </c>
    </row>
    <row r="209" spans="1:7" x14ac:dyDescent="0.45">
      <c r="A209" s="3" t="s">
        <v>6</v>
      </c>
      <c r="B209" s="3" t="s">
        <v>5</v>
      </c>
      <c r="C209" s="4">
        <v>452</v>
      </c>
      <c r="D209" s="4">
        <v>166</v>
      </c>
      <c r="E209" s="3">
        <v>191</v>
      </c>
      <c r="F209" s="3">
        <v>3250</v>
      </c>
      <c r="G209" s="3" t="s">
        <v>3</v>
      </c>
    </row>
    <row r="210" spans="1:7" x14ac:dyDescent="0.45">
      <c r="A210" s="3" t="s">
        <v>6</v>
      </c>
      <c r="B210" s="3" t="s">
        <v>5</v>
      </c>
      <c r="C210" s="4">
        <v>493</v>
      </c>
      <c r="D210" s="4">
        <v>199</v>
      </c>
      <c r="E210" s="3">
        <v>203</v>
      </c>
      <c r="F210" s="3">
        <v>4050</v>
      </c>
      <c r="G210" s="3" t="s">
        <v>2</v>
      </c>
    </row>
    <row r="211" spans="1:7" x14ac:dyDescent="0.45">
      <c r="A211" s="3" t="s">
        <v>6</v>
      </c>
      <c r="B211" s="3" t="s">
        <v>5</v>
      </c>
      <c r="C211" s="4">
        <v>502</v>
      </c>
      <c r="D211" s="4">
        <v>188</v>
      </c>
      <c r="E211" s="3">
        <v>202</v>
      </c>
      <c r="F211" s="3">
        <v>3800</v>
      </c>
      <c r="G211" s="3" t="s">
        <v>2</v>
      </c>
    </row>
    <row r="212" spans="1:7" x14ac:dyDescent="0.45">
      <c r="A212" s="3" t="s">
        <v>6</v>
      </c>
      <c r="B212" s="3" t="s">
        <v>5</v>
      </c>
      <c r="C212" s="4">
        <v>456</v>
      </c>
      <c r="D212" s="4">
        <v>194</v>
      </c>
      <c r="E212" s="3">
        <v>194</v>
      </c>
      <c r="F212" s="3">
        <v>3525</v>
      </c>
      <c r="G212" s="3" t="s">
        <v>3</v>
      </c>
    </row>
    <row r="213" spans="1:7" x14ac:dyDescent="0.45">
      <c r="A213" s="3" t="s">
        <v>6</v>
      </c>
      <c r="B213" s="3" t="s">
        <v>5</v>
      </c>
      <c r="C213" s="4">
        <v>519</v>
      </c>
      <c r="D213" s="4">
        <v>195</v>
      </c>
      <c r="E213" s="3">
        <v>206</v>
      </c>
      <c r="F213" s="3">
        <v>3950</v>
      </c>
      <c r="G213" s="3" t="s">
        <v>2</v>
      </c>
    </row>
    <row r="214" spans="1:7" x14ac:dyDescent="0.45">
      <c r="A214" s="3" t="s">
        <v>6</v>
      </c>
      <c r="B214" s="3" t="s">
        <v>5</v>
      </c>
      <c r="C214" s="4">
        <v>468</v>
      </c>
      <c r="D214" s="4">
        <v>165</v>
      </c>
      <c r="E214" s="3">
        <v>189</v>
      </c>
      <c r="F214" s="3">
        <v>3650</v>
      </c>
      <c r="G214" s="3" t="s">
        <v>3</v>
      </c>
    </row>
    <row r="215" spans="1:7" x14ac:dyDescent="0.45">
      <c r="A215" s="3" t="s">
        <v>6</v>
      </c>
      <c r="B215" s="3" t="s">
        <v>5</v>
      </c>
      <c r="C215" s="4">
        <v>457</v>
      </c>
      <c r="D215" s="4">
        <v>170</v>
      </c>
      <c r="E215" s="3">
        <v>195</v>
      </c>
      <c r="F215" s="3">
        <v>3650</v>
      </c>
      <c r="G215" s="3" t="s">
        <v>3</v>
      </c>
    </row>
    <row r="216" spans="1:7" x14ac:dyDescent="0.45">
      <c r="A216" s="3" t="s">
        <v>6</v>
      </c>
      <c r="B216" s="3" t="s">
        <v>5</v>
      </c>
      <c r="C216" s="4">
        <v>558</v>
      </c>
      <c r="D216" s="4">
        <v>198</v>
      </c>
      <c r="E216" s="3">
        <v>207</v>
      </c>
      <c r="F216" s="3">
        <v>4000</v>
      </c>
      <c r="G216" s="3" t="s">
        <v>2</v>
      </c>
    </row>
    <row r="217" spans="1:7" x14ac:dyDescent="0.45">
      <c r="A217" s="3" t="s">
        <v>6</v>
      </c>
      <c r="B217" s="3" t="s">
        <v>5</v>
      </c>
      <c r="C217" s="4">
        <v>435</v>
      </c>
      <c r="D217" s="4">
        <v>181</v>
      </c>
      <c r="E217" s="3">
        <v>202</v>
      </c>
      <c r="F217" s="3">
        <v>3400</v>
      </c>
      <c r="G217" s="3" t="s">
        <v>3</v>
      </c>
    </row>
    <row r="218" spans="1:7" x14ac:dyDescent="0.45">
      <c r="A218" s="3" t="s">
        <v>6</v>
      </c>
      <c r="B218" s="3" t="s">
        <v>5</v>
      </c>
      <c r="C218" s="4">
        <v>496</v>
      </c>
      <c r="D218" s="4">
        <v>182</v>
      </c>
      <c r="E218" s="3">
        <v>193</v>
      </c>
      <c r="F218" s="3">
        <v>3775</v>
      </c>
      <c r="G218" s="3" t="s">
        <v>2</v>
      </c>
    </row>
    <row r="219" spans="1:7" x14ac:dyDescent="0.45">
      <c r="A219" s="3" t="s">
        <v>6</v>
      </c>
      <c r="B219" s="3" t="s">
        <v>5</v>
      </c>
      <c r="C219" s="4">
        <v>508</v>
      </c>
      <c r="D219" s="4">
        <v>190</v>
      </c>
      <c r="E219" s="3">
        <v>210</v>
      </c>
      <c r="F219" s="3">
        <v>4100</v>
      </c>
      <c r="G219" s="3" t="s">
        <v>2</v>
      </c>
    </row>
    <row r="220" spans="1:7" x14ac:dyDescent="0.45">
      <c r="A220" s="3" t="s">
        <v>6</v>
      </c>
      <c r="B220" s="3" t="s">
        <v>5</v>
      </c>
      <c r="C220" s="4">
        <v>502</v>
      </c>
      <c r="D220" s="4">
        <v>187</v>
      </c>
      <c r="E220" s="3">
        <v>198</v>
      </c>
      <c r="F220" s="3">
        <v>3775</v>
      </c>
      <c r="G220" s="3" t="s">
        <v>3</v>
      </c>
    </row>
    <row r="221" spans="1:7" x14ac:dyDescent="0.45">
      <c r="A221" s="3" t="s">
        <v>7</v>
      </c>
      <c r="B221" s="3" t="s">
        <v>4</v>
      </c>
      <c r="C221" s="4">
        <v>461</v>
      </c>
      <c r="D221" s="4">
        <v>132</v>
      </c>
      <c r="E221" s="3">
        <v>211</v>
      </c>
      <c r="F221" s="3">
        <v>4500</v>
      </c>
      <c r="G221" s="3" t="s">
        <v>3</v>
      </c>
    </row>
    <row r="222" spans="1:7" x14ac:dyDescent="0.45">
      <c r="A222" s="3" t="s">
        <v>7</v>
      </c>
      <c r="B222" s="3" t="s">
        <v>4</v>
      </c>
      <c r="C222" s="4">
        <v>500</v>
      </c>
      <c r="D222" s="4">
        <v>163</v>
      </c>
      <c r="E222" s="3">
        <v>230</v>
      </c>
      <c r="F222" s="3">
        <v>5700</v>
      </c>
      <c r="G222" s="3" t="s">
        <v>2</v>
      </c>
    </row>
    <row r="223" spans="1:7" x14ac:dyDescent="0.45">
      <c r="A223" s="3" t="s">
        <v>7</v>
      </c>
      <c r="B223" s="3" t="s">
        <v>4</v>
      </c>
      <c r="C223" s="4">
        <v>487</v>
      </c>
      <c r="D223" s="4">
        <v>141</v>
      </c>
      <c r="E223" s="3">
        <v>210</v>
      </c>
      <c r="F223" s="3">
        <v>4450</v>
      </c>
      <c r="G223" s="3" t="s">
        <v>3</v>
      </c>
    </row>
    <row r="224" spans="1:7" x14ac:dyDescent="0.45">
      <c r="A224" s="3" t="s">
        <v>7</v>
      </c>
      <c r="B224" s="3" t="s">
        <v>4</v>
      </c>
      <c r="C224" s="4">
        <v>500</v>
      </c>
      <c r="D224" s="4">
        <v>152</v>
      </c>
      <c r="E224" s="3">
        <v>218</v>
      </c>
      <c r="F224" s="3">
        <v>5700</v>
      </c>
      <c r="G224" s="3" t="s">
        <v>2</v>
      </c>
    </row>
    <row r="225" spans="1:7" x14ac:dyDescent="0.45">
      <c r="A225" s="3" t="s">
        <v>7</v>
      </c>
      <c r="B225" s="3" t="s">
        <v>4</v>
      </c>
      <c r="C225" s="4">
        <v>476</v>
      </c>
      <c r="D225" s="4">
        <v>145</v>
      </c>
      <c r="E225" s="3">
        <v>215</v>
      </c>
      <c r="F225" s="3">
        <v>5400</v>
      </c>
      <c r="G225" s="3" t="s">
        <v>2</v>
      </c>
    </row>
    <row r="226" spans="1:7" x14ac:dyDescent="0.45">
      <c r="A226" s="3" t="s">
        <v>7</v>
      </c>
      <c r="B226" s="3" t="s">
        <v>4</v>
      </c>
      <c r="C226" s="4">
        <v>465</v>
      </c>
      <c r="D226" s="4">
        <v>135</v>
      </c>
      <c r="E226" s="3">
        <v>210</v>
      </c>
      <c r="F226" s="3">
        <v>4550</v>
      </c>
      <c r="G226" s="3" t="s">
        <v>3</v>
      </c>
    </row>
    <row r="227" spans="1:7" x14ac:dyDescent="0.45">
      <c r="A227" s="3" t="s">
        <v>7</v>
      </c>
      <c r="B227" s="3" t="s">
        <v>4</v>
      </c>
      <c r="C227" s="4">
        <v>454</v>
      </c>
      <c r="D227" s="4">
        <v>146</v>
      </c>
      <c r="E227" s="3">
        <v>211</v>
      </c>
      <c r="F227" s="3">
        <v>4800</v>
      </c>
      <c r="G227" s="3" t="s">
        <v>3</v>
      </c>
    </row>
    <row r="228" spans="1:7" x14ac:dyDescent="0.45">
      <c r="A228" s="3" t="s">
        <v>7</v>
      </c>
      <c r="B228" s="3" t="s">
        <v>4</v>
      </c>
      <c r="C228" s="4">
        <v>467</v>
      </c>
      <c r="D228" s="4">
        <v>153</v>
      </c>
      <c r="E228" s="3">
        <v>219</v>
      </c>
      <c r="F228" s="3">
        <v>5200</v>
      </c>
      <c r="G228" s="3" t="s">
        <v>2</v>
      </c>
    </row>
    <row r="229" spans="1:7" x14ac:dyDescent="0.45">
      <c r="A229" s="3" t="s">
        <v>7</v>
      </c>
      <c r="B229" s="3" t="s">
        <v>4</v>
      </c>
      <c r="C229" s="4">
        <v>433</v>
      </c>
      <c r="D229" s="4">
        <v>134</v>
      </c>
      <c r="E229" s="3">
        <v>209</v>
      </c>
      <c r="F229" s="3">
        <v>4400</v>
      </c>
      <c r="G229" s="3" t="s">
        <v>3</v>
      </c>
    </row>
    <row r="230" spans="1:7" x14ac:dyDescent="0.45">
      <c r="A230" s="3" t="s">
        <v>7</v>
      </c>
      <c r="B230" s="3" t="s">
        <v>4</v>
      </c>
      <c r="C230" s="4">
        <v>468</v>
      </c>
      <c r="D230" s="4">
        <v>154</v>
      </c>
      <c r="E230" s="3">
        <v>215</v>
      </c>
      <c r="F230" s="3">
        <v>5150</v>
      </c>
      <c r="G230" s="3" t="s">
        <v>2</v>
      </c>
    </row>
    <row r="231" spans="1:7" x14ac:dyDescent="0.45">
      <c r="A231" s="3" t="s">
        <v>7</v>
      </c>
      <c r="B231" s="3" t="s">
        <v>4</v>
      </c>
      <c r="C231" s="4">
        <v>409</v>
      </c>
      <c r="D231" s="4">
        <v>137</v>
      </c>
      <c r="E231" s="3">
        <v>214</v>
      </c>
      <c r="F231" s="3">
        <v>4650</v>
      </c>
      <c r="G231" s="3" t="s">
        <v>3</v>
      </c>
    </row>
    <row r="232" spans="1:7" x14ac:dyDescent="0.45">
      <c r="A232" s="3" t="s">
        <v>7</v>
      </c>
      <c r="B232" s="3" t="s">
        <v>4</v>
      </c>
      <c r="C232" s="4">
        <v>490</v>
      </c>
      <c r="D232" s="4">
        <v>161</v>
      </c>
      <c r="E232" s="3">
        <v>216</v>
      </c>
      <c r="F232" s="3">
        <v>5550</v>
      </c>
      <c r="G232" s="3" t="s">
        <v>2</v>
      </c>
    </row>
    <row r="233" spans="1:7" x14ac:dyDescent="0.45">
      <c r="A233" s="3" t="s">
        <v>7</v>
      </c>
      <c r="B233" s="3" t="s">
        <v>4</v>
      </c>
      <c r="C233" s="4">
        <v>455</v>
      </c>
      <c r="D233" s="4">
        <v>137</v>
      </c>
      <c r="E233" s="3">
        <v>214</v>
      </c>
      <c r="F233" s="3">
        <v>4650</v>
      </c>
      <c r="G233" s="3" t="s">
        <v>3</v>
      </c>
    </row>
    <row r="234" spans="1:7" x14ac:dyDescent="0.45">
      <c r="A234" s="3" t="s">
        <v>7</v>
      </c>
      <c r="B234" s="3" t="s">
        <v>4</v>
      </c>
      <c r="C234" s="4">
        <v>484</v>
      </c>
      <c r="D234" s="4">
        <v>146</v>
      </c>
      <c r="E234" s="3">
        <v>213</v>
      </c>
      <c r="F234" s="3">
        <v>5850</v>
      </c>
      <c r="G234" s="3" t="s">
        <v>2</v>
      </c>
    </row>
    <row r="235" spans="1:7" x14ac:dyDescent="0.45">
      <c r="A235" s="3" t="s">
        <v>7</v>
      </c>
      <c r="B235" s="3" t="s">
        <v>4</v>
      </c>
      <c r="C235" s="4">
        <v>458</v>
      </c>
      <c r="D235" s="4">
        <v>146</v>
      </c>
      <c r="E235" s="3">
        <v>210</v>
      </c>
      <c r="F235" s="3">
        <v>4200</v>
      </c>
      <c r="G235" s="3" t="s">
        <v>3</v>
      </c>
    </row>
    <row r="236" spans="1:7" x14ac:dyDescent="0.45">
      <c r="A236" s="3" t="s">
        <v>7</v>
      </c>
      <c r="B236" s="3" t="s">
        <v>4</v>
      </c>
      <c r="C236" s="4">
        <v>493</v>
      </c>
      <c r="D236" s="4">
        <v>157</v>
      </c>
      <c r="E236" s="3">
        <v>217</v>
      </c>
      <c r="F236" s="3">
        <v>5850</v>
      </c>
      <c r="G236" s="3" t="s">
        <v>2</v>
      </c>
    </row>
    <row r="237" spans="1:7" x14ac:dyDescent="0.45">
      <c r="A237" s="3" t="s">
        <v>7</v>
      </c>
      <c r="B237" s="3" t="s">
        <v>4</v>
      </c>
      <c r="C237" s="4">
        <v>420</v>
      </c>
      <c r="D237" s="4">
        <v>135</v>
      </c>
      <c r="E237" s="3">
        <v>210</v>
      </c>
      <c r="F237" s="3">
        <v>4150</v>
      </c>
      <c r="G237" s="3" t="s">
        <v>3</v>
      </c>
    </row>
    <row r="238" spans="1:7" x14ac:dyDescent="0.45">
      <c r="A238" s="3" t="s">
        <v>7</v>
      </c>
      <c r="B238" s="3" t="s">
        <v>4</v>
      </c>
      <c r="C238" s="4">
        <v>492</v>
      </c>
      <c r="D238" s="4">
        <v>152</v>
      </c>
      <c r="E238" s="3">
        <v>221</v>
      </c>
      <c r="F238" s="3">
        <v>6300</v>
      </c>
      <c r="G238" s="3" t="s">
        <v>2</v>
      </c>
    </row>
    <row r="239" spans="1:7" x14ac:dyDescent="0.45">
      <c r="A239" s="3" t="s">
        <v>7</v>
      </c>
      <c r="B239" s="3" t="s">
        <v>4</v>
      </c>
      <c r="C239" s="4">
        <v>462</v>
      </c>
      <c r="D239" s="4">
        <v>145</v>
      </c>
      <c r="E239" s="3">
        <v>209</v>
      </c>
      <c r="F239" s="3">
        <v>4800</v>
      </c>
      <c r="G239" s="3" t="s">
        <v>3</v>
      </c>
    </row>
    <row r="240" spans="1:7" x14ac:dyDescent="0.45">
      <c r="A240" s="3" t="s">
        <v>7</v>
      </c>
      <c r="B240" s="3" t="s">
        <v>4</v>
      </c>
      <c r="C240" s="4">
        <v>487</v>
      </c>
      <c r="D240" s="4">
        <v>151</v>
      </c>
      <c r="E240" s="3">
        <v>222</v>
      </c>
      <c r="F240" s="3">
        <v>5350</v>
      </c>
      <c r="G240" s="3" t="s">
        <v>2</v>
      </c>
    </row>
    <row r="241" spans="1:7" x14ac:dyDescent="0.45">
      <c r="A241" s="3" t="s">
        <v>7</v>
      </c>
      <c r="B241" s="3" t="s">
        <v>4</v>
      </c>
      <c r="C241" s="4">
        <v>502</v>
      </c>
      <c r="D241" s="4">
        <v>143</v>
      </c>
      <c r="E241" s="3">
        <v>218</v>
      </c>
      <c r="F241" s="3">
        <v>5700</v>
      </c>
      <c r="G241" s="3" t="s">
        <v>2</v>
      </c>
    </row>
    <row r="242" spans="1:7" x14ac:dyDescent="0.45">
      <c r="A242" s="3" t="s">
        <v>7</v>
      </c>
      <c r="B242" s="3" t="s">
        <v>4</v>
      </c>
      <c r="C242" s="4">
        <v>451</v>
      </c>
      <c r="D242" s="4">
        <v>145</v>
      </c>
      <c r="E242" s="3">
        <v>215</v>
      </c>
      <c r="F242" s="3">
        <v>5000</v>
      </c>
      <c r="G242" s="3" t="s">
        <v>3</v>
      </c>
    </row>
    <row r="243" spans="1:7" x14ac:dyDescent="0.45">
      <c r="A243" s="3" t="s">
        <v>7</v>
      </c>
      <c r="B243" s="3" t="s">
        <v>4</v>
      </c>
      <c r="C243" s="4">
        <v>465</v>
      </c>
      <c r="D243" s="4">
        <v>145</v>
      </c>
      <c r="E243" s="3">
        <v>213</v>
      </c>
      <c r="F243" s="3">
        <v>4400</v>
      </c>
      <c r="G243" s="3" t="s">
        <v>3</v>
      </c>
    </row>
    <row r="244" spans="1:7" x14ac:dyDescent="0.45">
      <c r="A244" s="3" t="s">
        <v>7</v>
      </c>
      <c r="B244" s="3" t="s">
        <v>4</v>
      </c>
      <c r="C244" s="4">
        <v>463</v>
      </c>
      <c r="D244" s="4">
        <v>158</v>
      </c>
      <c r="E244" s="3">
        <v>215</v>
      </c>
      <c r="F244" s="3">
        <v>5050</v>
      </c>
      <c r="G244" s="3" t="s">
        <v>2</v>
      </c>
    </row>
    <row r="245" spans="1:7" x14ac:dyDescent="0.45">
      <c r="A245" s="3" t="s">
        <v>7</v>
      </c>
      <c r="B245" s="3" t="s">
        <v>4</v>
      </c>
      <c r="C245" s="4">
        <v>429</v>
      </c>
      <c r="D245" s="4">
        <v>131</v>
      </c>
      <c r="E245" s="3">
        <v>215</v>
      </c>
      <c r="F245" s="3">
        <v>5000</v>
      </c>
      <c r="G245" s="3" t="s">
        <v>3</v>
      </c>
    </row>
    <row r="246" spans="1:7" x14ac:dyDescent="0.45">
      <c r="A246" s="3" t="s">
        <v>7</v>
      </c>
      <c r="B246" s="3" t="s">
        <v>4</v>
      </c>
      <c r="C246" s="4">
        <v>461</v>
      </c>
      <c r="D246" s="4">
        <v>151</v>
      </c>
      <c r="E246" s="3">
        <v>215</v>
      </c>
      <c r="F246" s="3">
        <v>5100</v>
      </c>
      <c r="G246" s="3" t="s">
        <v>2</v>
      </c>
    </row>
    <row r="247" spans="1:7" x14ac:dyDescent="0.45">
      <c r="A247" s="3" t="s">
        <v>7</v>
      </c>
      <c r="B247" s="3" t="s">
        <v>4</v>
      </c>
      <c r="C247" s="4">
        <v>445</v>
      </c>
      <c r="D247" s="4">
        <v>143</v>
      </c>
      <c r="E247" s="3">
        <v>216</v>
      </c>
      <c r="F247" s="3">
        <v>4100</v>
      </c>
      <c r="G247" s="3" t="s">
        <v>3</v>
      </c>
    </row>
    <row r="248" spans="1:7" x14ac:dyDescent="0.45">
      <c r="A248" s="3" t="s">
        <v>7</v>
      </c>
      <c r="B248" s="3" t="s">
        <v>4</v>
      </c>
      <c r="C248" s="4">
        <v>478</v>
      </c>
      <c r="D248" s="4">
        <v>150</v>
      </c>
      <c r="E248" s="3">
        <v>215</v>
      </c>
      <c r="F248" s="3">
        <v>5650</v>
      </c>
      <c r="G248" s="3" t="s">
        <v>2</v>
      </c>
    </row>
    <row r="249" spans="1:7" x14ac:dyDescent="0.45">
      <c r="A249" s="3" t="s">
        <v>7</v>
      </c>
      <c r="B249" s="3" t="s">
        <v>4</v>
      </c>
      <c r="C249" s="4">
        <v>482</v>
      </c>
      <c r="D249" s="4">
        <v>143</v>
      </c>
      <c r="E249" s="3">
        <v>210</v>
      </c>
      <c r="F249" s="3">
        <v>4600</v>
      </c>
      <c r="G249" s="3" t="s">
        <v>3</v>
      </c>
    </row>
    <row r="250" spans="1:7" x14ac:dyDescent="0.45">
      <c r="A250" s="3" t="s">
        <v>7</v>
      </c>
      <c r="B250" s="3" t="s">
        <v>4</v>
      </c>
      <c r="C250" s="4">
        <v>500</v>
      </c>
      <c r="D250" s="4">
        <v>153</v>
      </c>
      <c r="E250" s="3">
        <v>220</v>
      </c>
      <c r="F250" s="3">
        <v>5550</v>
      </c>
      <c r="G250" s="3" t="s">
        <v>2</v>
      </c>
    </row>
    <row r="251" spans="1:7" x14ac:dyDescent="0.45">
      <c r="A251" s="3" t="s">
        <v>7</v>
      </c>
      <c r="B251" s="3" t="s">
        <v>4</v>
      </c>
      <c r="C251" s="4">
        <v>473</v>
      </c>
      <c r="D251" s="4">
        <v>153</v>
      </c>
      <c r="E251" s="3">
        <v>222</v>
      </c>
      <c r="F251" s="3">
        <v>5250</v>
      </c>
      <c r="G251" s="3" t="s">
        <v>2</v>
      </c>
    </row>
    <row r="252" spans="1:7" x14ac:dyDescent="0.45">
      <c r="A252" s="3" t="s">
        <v>7</v>
      </c>
      <c r="B252" s="3" t="s">
        <v>4</v>
      </c>
      <c r="C252" s="4">
        <v>428</v>
      </c>
      <c r="D252" s="4">
        <v>142</v>
      </c>
      <c r="E252" s="3">
        <v>209</v>
      </c>
      <c r="F252" s="3">
        <v>4700</v>
      </c>
      <c r="G252" s="3" t="s">
        <v>3</v>
      </c>
    </row>
    <row r="253" spans="1:7" x14ac:dyDescent="0.45">
      <c r="A253" s="3" t="s">
        <v>7</v>
      </c>
      <c r="B253" s="3" t="s">
        <v>4</v>
      </c>
      <c r="C253" s="4">
        <v>451</v>
      </c>
      <c r="D253" s="4">
        <v>145</v>
      </c>
      <c r="E253" s="3">
        <v>207</v>
      </c>
      <c r="F253" s="3">
        <v>5050</v>
      </c>
      <c r="G253" s="3" t="s">
        <v>3</v>
      </c>
    </row>
    <row r="254" spans="1:7" x14ac:dyDescent="0.45">
      <c r="A254" s="3" t="s">
        <v>7</v>
      </c>
      <c r="B254" s="3" t="s">
        <v>4</v>
      </c>
      <c r="C254" s="4">
        <v>596</v>
      </c>
      <c r="D254" s="4">
        <v>170</v>
      </c>
      <c r="E254" s="3">
        <v>230</v>
      </c>
      <c r="F254" s="3">
        <v>6050</v>
      </c>
      <c r="G254" s="3" t="s">
        <v>2</v>
      </c>
    </row>
    <row r="255" spans="1:7" x14ac:dyDescent="0.45">
      <c r="A255" s="3" t="s">
        <v>7</v>
      </c>
      <c r="B255" s="3" t="s">
        <v>4</v>
      </c>
      <c r="C255" s="4">
        <v>491</v>
      </c>
      <c r="D255" s="4">
        <v>148</v>
      </c>
      <c r="E255" s="3">
        <v>220</v>
      </c>
      <c r="F255" s="3">
        <v>5150</v>
      </c>
      <c r="G255" s="3" t="s">
        <v>3</v>
      </c>
    </row>
    <row r="256" spans="1:7" x14ac:dyDescent="0.45">
      <c r="A256" s="3" t="s">
        <v>7</v>
      </c>
      <c r="B256" s="3" t="s">
        <v>4</v>
      </c>
      <c r="C256" s="4">
        <v>484</v>
      </c>
      <c r="D256" s="4">
        <v>163</v>
      </c>
      <c r="E256" s="3">
        <v>220</v>
      </c>
      <c r="F256" s="3">
        <v>5400</v>
      </c>
      <c r="G256" s="3" t="s">
        <v>2</v>
      </c>
    </row>
    <row r="257" spans="1:7" x14ac:dyDescent="0.45">
      <c r="A257" s="3" t="s">
        <v>7</v>
      </c>
      <c r="B257" s="3" t="s">
        <v>4</v>
      </c>
      <c r="C257" s="4">
        <v>426</v>
      </c>
      <c r="D257" s="4">
        <v>137</v>
      </c>
      <c r="E257" s="3">
        <v>213</v>
      </c>
      <c r="F257" s="3">
        <v>4950</v>
      </c>
      <c r="G257" s="3" t="s">
        <v>3</v>
      </c>
    </row>
    <row r="258" spans="1:7" x14ac:dyDescent="0.45">
      <c r="A258" s="3" t="s">
        <v>7</v>
      </c>
      <c r="B258" s="3" t="s">
        <v>4</v>
      </c>
      <c r="C258" s="4">
        <v>444</v>
      </c>
      <c r="D258" s="4">
        <v>173</v>
      </c>
      <c r="E258" s="3">
        <v>219</v>
      </c>
      <c r="F258" s="3">
        <v>5250</v>
      </c>
      <c r="G258" s="3" t="s">
        <v>2</v>
      </c>
    </row>
    <row r="259" spans="1:7" x14ac:dyDescent="0.45">
      <c r="A259" s="3" t="s">
        <v>7</v>
      </c>
      <c r="B259" s="3" t="s">
        <v>4</v>
      </c>
      <c r="C259" s="4">
        <v>440</v>
      </c>
      <c r="D259" s="4">
        <v>136</v>
      </c>
      <c r="E259" s="3">
        <v>208</v>
      </c>
      <c r="F259" s="3">
        <v>4350</v>
      </c>
      <c r="G259" s="3" t="s">
        <v>3</v>
      </c>
    </row>
    <row r="260" spans="1:7" x14ac:dyDescent="0.45">
      <c r="A260" s="3" t="s">
        <v>7</v>
      </c>
      <c r="B260" s="3" t="s">
        <v>4</v>
      </c>
      <c r="C260" s="4">
        <v>487</v>
      </c>
      <c r="D260" s="4">
        <v>157</v>
      </c>
      <c r="E260" s="3">
        <v>208</v>
      </c>
      <c r="F260" s="3">
        <v>5350</v>
      </c>
      <c r="G260" s="3" t="s">
        <v>2</v>
      </c>
    </row>
    <row r="261" spans="1:7" x14ac:dyDescent="0.45">
      <c r="A261" s="3" t="s">
        <v>7</v>
      </c>
      <c r="B261" s="3" t="s">
        <v>4</v>
      </c>
      <c r="C261" s="4">
        <v>427</v>
      </c>
      <c r="D261" s="4">
        <v>137</v>
      </c>
      <c r="E261" s="3">
        <v>208</v>
      </c>
      <c r="F261" s="3">
        <v>3950</v>
      </c>
      <c r="G261" s="3" t="s">
        <v>3</v>
      </c>
    </row>
    <row r="262" spans="1:7" x14ac:dyDescent="0.45">
      <c r="A262" s="3" t="s">
        <v>7</v>
      </c>
      <c r="B262" s="3" t="s">
        <v>4</v>
      </c>
      <c r="C262" s="4">
        <v>496</v>
      </c>
      <c r="D262" s="4">
        <v>160</v>
      </c>
      <c r="E262" s="3">
        <v>225</v>
      </c>
      <c r="F262" s="3">
        <v>5700</v>
      </c>
      <c r="G262" s="3" t="s">
        <v>2</v>
      </c>
    </row>
    <row r="263" spans="1:7" x14ac:dyDescent="0.45">
      <c r="A263" s="3" t="s">
        <v>7</v>
      </c>
      <c r="B263" s="3" t="s">
        <v>4</v>
      </c>
      <c r="C263" s="4">
        <v>453</v>
      </c>
      <c r="D263" s="4">
        <v>137</v>
      </c>
      <c r="E263" s="3">
        <v>210</v>
      </c>
      <c r="F263" s="3">
        <v>4300</v>
      </c>
      <c r="G263" s="3" t="s">
        <v>3</v>
      </c>
    </row>
    <row r="264" spans="1:7" x14ac:dyDescent="0.45">
      <c r="A264" s="3" t="s">
        <v>7</v>
      </c>
      <c r="B264" s="3" t="s">
        <v>4</v>
      </c>
      <c r="C264" s="4">
        <v>496</v>
      </c>
      <c r="D264" s="4">
        <v>150</v>
      </c>
      <c r="E264" s="3">
        <v>216</v>
      </c>
      <c r="F264" s="3">
        <v>4750</v>
      </c>
      <c r="G264" s="3" t="s">
        <v>2</v>
      </c>
    </row>
    <row r="265" spans="1:7" x14ac:dyDescent="0.45">
      <c r="A265" s="3" t="s">
        <v>7</v>
      </c>
      <c r="B265" s="3" t="s">
        <v>4</v>
      </c>
      <c r="C265" s="4">
        <v>505</v>
      </c>
      <c r="D265" s="4">
        <v>159</v>
      </c>
      <c r="E265" s="3">
        <v>222</v>
      </c>
      <c r="F265" s="3">
        <v>5550</v>
      </c>
      <c r="G265" s="3" t="s">
        <v>2</v>
      </c>
    </row>
    <row r="266" spans="1:7" x14ac:dyDescent="0.45">
      <c r="A266" s="3" t="s">
        <v>7</v>
      </c>
      <c r="B266" s="3" t="s">
        <v>4</v>
      </c>
      <c r="C266" s="4">
        <v>436</v>
      </c>
      <c r="D266" s="4">
        <v>139</v>
      </c>
      <c r="E266" s="3">
        <v>217</v>
      </c>
      <c r="F266" s="3">
        <v>4900</v>
      </c>
      <c r="G266" s="3" t="s">
        <v>3</v>
      </c>
    </row>
    <row r="267" spans="1:7" x14ac:dyDescent="0.45">
      <c r="A267" s="3" t="s">
        <v>7</v>
      </c>
      <c r="B267" s="3" t="s">
        <v>4</v>
      </c>
      <c r="C267" s="4">
        <v>455</v>
      </c>
      <c r="D267" s="4">
        <v>139</v>
      </c>
      <c r="E267" s="3">
        <v>210</v>
      </c>
      <c r="F267" s="3">
        <v>4200</v>
      </c>
      <c r="G267" s="3" t="s">
        <v>3</v>
      </c>
    </row>
    <row r="268" spans="1:7" x14ac:dyDescent="0.45">
      <c r="A268" s="3" t="s">
        <v>7</v>
      </c>
      <c r="B268" s="3" t="s">
        <v>4</v>
      </c>
      <c r="C268" s="4">
        <v>505</v>
      </c>
      <c r="D268" s="4">
        <v>159</v>
      </c>
      <c r="E268" s="3">
        <v>225</v>
      </c>
      <c r="F268" s="3">
        <v>5400</v>
      </c>
      <c r="G268" s="3" t="s">
        <v>2</v>
      </c>
    </row>
    <row r="269" spans="1:7" x14ac:dyDescent="0.45">
      <c r="A269" s="3" t="s">
        <v>7</v>
      </c>
      <c r="B269" s="3" t="s">
        <v>4</v>
      </c>
      <c r="C269" s="4">
        <v>449</v>
      </c>
      <c r="D269" s="4">
        <v>133</v>
      </c>
      <c r="E269" s="3">
        <v>213</v>
      </c>
      <c r="F269" s="3">
        <v>5100</v>
      </c>
      <c r="G269" s="3" t="s">
        <v>3</v>
      </c>
    </row>
    <row r="270" spans="1:7" x14ac:dyDescent="0.45">
      <c r="A270" s="3" t="s">
        <v>7</v>
      </c>
      <c r="B270" s="3" t="s">
        <v>4</v>
      </c>
      <c r="C270" s="4">
        <v>452</v>
      </c>
      <c r="D270" s="4">
        <v>158</v>
      </c>
      <c r="E270" s="3">
        <v>215</v>
      </c>
      <c r="F270" s="3">
        <v>5300</v>
      </c>
      <c r="G270" s="3" t="s">
        <v>2</v>
      </c>
    </row>
    <row r="271" spans="1:7" x14ac:dyDescent="0.45">
      <c r="A271" s="3" t="s">
        <v>7</v>
      </c>
      <c r="B271" s="3" t="s">
        <v>4</v>
      </c>
      <c r="C271" s="4">
        <v>466</v>
      </c>
      <c r="D271" s="4">
        <v>142</v>
      </c>
      <c r="E271" s="3">
        <v>210</v>
      </c>
      <c r="F271" s="3">
        <v>4850</v>
      </c>
      <c r="G271" s="3" t="s">
        <v>3</v>
      </c>
    </row>
    <row r="272" spans="1:7" x14ac:dyDescent="0.45">
      <c r="A272" s="3" t="s">
        <v>7</v>
      </c>
      <c r="B272" s="3" t="s">
        <v>4</v>
      </c>
      <c r="C272" s="4">
        <v>485</v>
      </c>
      <c r="D272" s="4">
        <v>141</v>
      </c>
      <c r="E272" s="3">
        <v>220</v>
      </c>
      <c r="F272" s="3">
        <v>5300</v>
      </c>
      <c r="G272" s="3" t="s">
        <v>2</v>
      </c>
    </row>
    <row r="273" spans="1:7" x14ac:dyDescent="0.45">
      <c r="A273" s="3" t="s">
        <v>7</v>
      </c>
      <c r="B273" s="3" t="s">
        <v>4</v>
      </c>
      <c r="C273" s="4">
        <v>451</v>
      </c>
      <c r="D273" s="4">
        <v>144</v>
      </c>
      <c r="E273" s="3">
        <v>210</v>
      </c>
      <c r="F273" s="3">
        <v>4400</v>
      </c>
      <c r="G273" s="3" t="s">
        <v>3</v>
      </c>
    </row>
    <row r="274" spans="1:7" x14ac:dyDescent="0.45">
      <c r="A274" s="3" t="s">
        <v>7</v>
      </c>
      <c r="B274" s="3" t="s">
        <v>4</v>
      </c>
      <c r="C274" s="4">
        <v>501</v>
      </c>
      <c r="D274" s="4">
        <v>150</v>
      </c>
      <c r="E274" s="3">
        <v>225</v>
      </c>
      <c r="F274" s="3">
        <v>5000</v>
      </c>
      <c r="G274" s="3" t="s">
        <v>2</v>
      </c>
    </row>
    <row r="275" spans="1:7" x14ac:dyDescent="0.45">
      <c r="A275" s="3" t="s">
        <v>7</v>
      </c>
      <c r="B275" s="3" t="s">
        <v>4</v>
      </c>
      <c r="C275" s="4">
        <v>465</v>
      </c>
      <c r="D275" s="4">
        <v>144</v>
      </c>
      <c r="E275" s="3">
        <v>217</v>
      </c>
      <c r="F275" s="3">
        <v>4900</v>
      </c>
      <c r="G275" s="3" t="s">
        <v>3</v>
      </c>
    </row>
    <row r="276" spans="1:7" x14ac:dyDescent="0.45">
      <c r="A276" s="3" t="s">
        <v>7</v>
      </c>
      <c r="B276" s="3" t="s">
        <v>4</v>
      </c>
      <c r="C276" s="4">
        <v>450</v>
      </c>
      <c r="D276" s="4">
        <v>154</v>
      </c>
      <c r="E276" s="3">
        <v>220</v>
      </c>
      <c r="F276" s="3">
        <v>5050</v>
      </c>
      <c r="G276" s="3" t="s">
        <v>2</v>
      </c>
    </row>
    <row r="277" spans="1:7" x14ac:dyDescent="0.45">
      <c r="A277" s="3" t="s">
        <v>7</v>
      </c>
      <c r="B277" s="3" t="s">
        <v>4</v>
      </c>
      <c r="C277" s="4">
        <v>438</v>
      </c>
      <c r="D277" s="4">
        <v>139</v>
      </c>
      <c r="E277" s="3">
        <v>208</v>
      </c>
      <c r="F277" s="3">
        <v>4300</v>
      </c>
      <c r="G277" s="3" t="s">
        <v>3</v>
      </c>
    </row>
    <row r="278" spans="1:7" x14ac:dyDescent="0.45">
      <c r="A278" s="3" t="s">
        <v>7</v>
      </c>
      <c r="B278" s="3" t="s">
        <v>4</v>
      </c>
      <c r="C278" s="4">
        <v>455</v>
      </c>
      <c r="D278" s="4">
        <v>150</v>
      </c>
      <c r="E278" s="3">
        <v>220</v>
      </c>
      <c r="F278" s="3">
        <v>5000</v>
      </c>
      <c r="G278" s="3" t="s">
        <v>2</v>
      </c>
    </row>
    <row r="279" spans="1:7" x14ac:dyDescent="0.45">
      <c r="A279" s="3" t="s">
        <v>7</v>
      </c>
      <c r="B279" s="3" t="s">
        <v>4</v>
      </c>
      <c r="C279" s="4">
        <v>432</v>
      </c>
      <c r="D279" s="4">
        <v>145</v>
      </c>
      <c r="E279" s="3">
        <v>208</v>
      </c>
      <c r="F279" s="3">
        <v>4450</v>
      </c>
      <c r="G279" s="3" t="s">
        <v>3</v>
      </c>
    </row>
    <row r="280" spans="1:7" x14ac:dyDescent="0.45">
      <c r="A280" s="3" t="s">
        <v>7</v>
      </c>
      <c r="B280" s="3" t="s">
        <v>4</v>
      </c>
      <c r="C280" s="4">
        <v>504</v>
      </c>
      <c r="D280" s="4">
        <v>153</v>
      </c>
      <c r="E280" s="3">
        <v>224</v>
      </c>
      <c r="F280" s="3">
        <v>5550</v>
      </c>
      <c r="G280" s="3" t="s">
        <v>2</v>
      </c>
    </row>
    <row r="281" spans="1:7" x14ac:dyDescent="0.45">
      <c r="A281" s="3" t="s">
        <v>7</v>
      </c>
      <c r="B281" s="3" t="s">
        <v>4</v>
      </c>
      <c r="C281" s="4">
        <v>453</v>
      </c>
      <c r="D281" s="4">
        <v>138</v>
      </c>
      <c r="E281" s="3">
        <v>208</v>
      </c>
      <c r="F281" s="3">
        <v>4200</v>
      </c>
      <c r="G281" s="3" t="s">
        <v>3</v>
      </c>
    </row>
    <row r="282" spans="1:7" x14ac:dyDescent="0.45">
      <c r="A282" s="3" t="s">
        <v>7</v>
      </c>
      <c r="B282" s="3" t="s">
        <v>4</v>
      </c>
      <c r="C282" s="4">
        <v>462</v>
      </c>
      <c r="D282" s="4">
        <v>149</v>
      </c>
      <c r="E282" s="3">
        <v>221</v>
      </c>
      <c r="F282" s="3">
        <v>5300</v>
      </c>
      <c r="G282" s="3" t="s">
        <v>2</v>
      </c>
    </row>
    <row r="283" spans="1:7" x14ac:dyDescent="0.45">
      <c r="A283" s="3" t="s">
        <v>7</v>
      </c>
      <c r="B283" s="3" t="s">
        <v>4</v>
      </c>
      <c r="C283" s="4">
        <v>457</v>
      </c>
      <c r="D283" s="4">
        <v>139</v>
      </c>
      <c r="E283" s="3">
        <v>214</v>
      </c>
      <c r="F283" s="3">
        <v>4400</v>
      </c>
      <c r="G283" s="3" t="s">
        <v>3</v>
      </c>
    </row>
    <row r="284" spans="1:7" x14ac:dyDescent="0.45">
      <c r="A284" s="3" t="s">
        <v>7</v>
      </c>
      <c r="B284" s="3" t="s">
        <v>4</v>
      </c>
      <c r="C284" s="4">
        <v>543</v>
      </c>
      <c r="D284" s="4">
        <v>157</v>
      </c>
      <c r="E284" s="3">
        <v>231</v>
      </c>
      <c r="F284" s="3">
        <v>5650</v>
      </c>
      <c r="G284" s="3" t="s">
        <v>2</v>
      </c>
    </row>
    <row r="285" spans="1:7" x14ac:dyDescent="0.45">
      <c r="A285" s="3" t="s">
        <v>7</v>
      </c>
      <c r="B285" s="3" t="s">
        <v>4</v>
      </c>
      <c r="C285" s="4">
        <v>458</v>
      </c>
      <c r="D285" s="4">
        <v>142</v>
      </c>
      <c r="E285" s="3">
        <v>219</v>
      </c>
      <c r="F285" s="3">
        <v>4700</v>
      </c>
      <c r="G285" s="3" t="s">
        <v>3</v>
      </c>
    </row>
    <row r="286" spans="1:7" x14ac:dyDescent="0.45">
      <c r="A286" s="3" t="s">
        <v>7</v>
      </c>
      <c r="B286" s="3" t="s">
        <v>4</v>
      </c>
      <c r="C286" s="4">
        <v>498</v>
      </c>
      <c r="D286" s="4">
        <v>168</v>
      </c>
      <c r="E286" s="3">
        <v>230</v>
      </c>
      <c r="F286" s="3">
        <v>5700</v>
      </c>
      <c r="G286" s="3" t="s">
        <v>2</v>
      </c>
    </row>
    <row r="287" spans="1:7" x14ac:dyDescent="0.45">
      <c r="A287" s="3" t="s">
        <v>7</v>
      </c>
      <c r="B287" s="3" t="s">
        <v>4</v>
      </c>
      <c r="C287" s="4">
        <v>462</v>
      </c>
      <c r="D287" s="4">
        <v>144</v>
      </c>
      <c r="E287" s="3">
        <v>214</v>
      </c>
      <c r="F287" s="3">
        <v>4650</v>
      </c>
      <c r="G287" s="3" t="s">
        <v>3</v>
      </c>
    </row>
    <row r="288" spans="1:7" x14ac:dyDescent="0.45">
      <c r="A288" s="3" t="s">
        <v>7</v>
      </c>
      <c r="B288" s="3" t="s">
        <v>4</v>
      </c>
      <c r="C288" s="4">
        <v>495</v>
      </c>
      <c r="D288" s="4">
        <v>162</v>
      </c>
      <c r="E288" s="3">
        <v>229</v>
      </c>
      <c r="F288" s="3">
        <v>5800</v>
      </c>
      <c r="G288" s="3" t="s">
        <v>2</v>
      </c>
    </row>
    <row r="289" spans="1:7" x14ac:dyDescent="0.45">
      <c r="A289" s="3" t="s">
        <v>7</v>
      </c>
      <c r="B289" s="3" t="s">
        <v>4</v>
      </c>
      <c r="C289" s="4">
        <v>435</v>
      </c>
      <c r="D289" s="4">
        <v>142</v>
      </c>
      <c r="E289" s="3">
        <v>220</v>
      </c>
      <c r="F289" s="3">
        <v>4700</v>
      </c>
      <c r="G289" s="3" t="s">
        <v>3</v>
      </c>
    </row>
    <row r="290" spans="1:7" x14ac:dyDescent="0.45">
      <c r="A290" s="3" t="s">
        <v>7</v>
      </c>
      <c r="B290" s="3" t="s">
        <v>4</v>
      </c>
      <c r="C290" s="4">
        <v>507</v>
      </c>
      <c r="D290" s="4">
        <v>150</v>
      </c>
      <c r="E290" s="3">
        <v>223</v>
      </c>
      <c r="F290" s="3">
        <v>5550</v>
      </c>
      <c r="G290" s="3" t="s">
        <v>2</v>
      </c>
    </row>
    <row r="291" spans="1:7" x14ac:dyDescent="0.45">
      <c r="A291" s="3" t="s">
        <v>7</v>
      </c>
      <c r="B291" s="3" t="s">
        <v>4</v>
      </c>
      <c r="C291" s="4">
        <v>477</v>
      </c>
      <c r="D291" s="4">
        <v>150</v>
      </c>
      <c r="E291" s="3">
        <v>216</v>
      </c>
      <c r="F291" s="3">
        <v>4750</v>
      </c>
      <c r="G291" s="3" t="s">
        <v>3</v>
      </c>
    </row>
    <row r="292" spans="1:7" x14ac:dyDescent="0.45">
      <c r="A292" s="3" t="s">
        <v>7</v>
      </c>
      <c r="B292" s="3" t="s">
        <v>4</v>
      </c>
      <c r="C292" s="4">
        <v>464</v>
      </c>
      <c r="D292" s="4">
        <v>156</v>
      </c>
      <c r="E292" s="3">
        <v>221</v>
      </c>
      <c r="F292" s="3">
        <v>5000</v>
      </c>
      <c r="G292" s="3" t="s">
        <v>2</v>
      </c>
    </row>
    <row r="293" spans="1:7" x14ac:dyDescent="0.45">
      <c r="A293" s="3" t="s">
        <v>7</v>
      </c>
      <c r="B293" s="3" t="s">
        <v>4</v>
      </c>
      <c r="C293" s="4">
        <v>482</v>
      </c>
      <c r="D293" s="4">
        <v>156</v>
      </c>
      <c r="E293" s="3">
        <v>221</v>
      </c>
      <c r="F293" s="3">
        <v>5100</v>
      </c>
      <c r="G293" s="3" t="s">
        <v>2</v>
      </c>
    </row>
    <row r="294" spans="1:7" x14ac:dyDescent="0.45">
      <c r="A294" s="3" t="s">
        <v>7</v>
      </c>
      <c r="B294" s="3" t="s">
        <v>4</v>
      </c>
      <c r="C294" s="4">
        <v>465</v>
      </c>
      <c r="D294" s="4">
        <v>148</v>
      </c>
      <c r="E294" s="3">
        <v>217</v>
      </c>
      <c r="F294" s="3">
        <v>5200</v>
      </c>
      <c r="G294" s="3" t="s">
        <v>3</v>
      </c>
    </row>
    <row r="295" spans="1:7" x14ac:dyDescent="0.45">
      <c r="A295" s="3" t="s">
        <v>7</v>
      </c>
      <c r="B295" s="3" t="s">
        <v>4</v>
      </c>
      <c r="C295" s="4">
        <v>464</v>
      </c>
      <c r="D295" s="4">
        <v>150</v>
      </c>
      <c r="E295" s="3">
        <v>216</v>
      </c>
      <c r="F295" s="3">
        <v>4700</v>
      </c>
      <c r="G295" s="3" t="s">
        <v>3</v>
      </c>
    </row>
    <row r="296" spans="1:7" x14ac:dyDescent="0.45">
      <c r="A296" s="3" t="s">
        <v>7</v>
      </c>
      <c r="B296" s="3" t="s">
        <v>4</v>
      </c>
      <c r="C296" s="4">
        <v>486</v>
      </c>
      <c r="D296" s="4">
        <v>160</v>
      </c>
      <c r="E296" s="3">
        <v>230</v>
      </c>
      <c r="F296" s="3">
        <v>5800</v>
      </c>
      <c r="G296" s="3" t="s">
        <v>2</v>
      </c>
    </row>
    <row r="297" spans="1:7" x14ac:dyDescent="0.45">
      <c r="A297" s="3" t="s">
        <v>7</v>
      </c>
      <c r="B297" s="3" t="s">
        <v>4</v>
      </c>
      <c r="C297" s="4">
        <v>475</v>
      </c>
      <c r="D297" s="4">
        <v>142</v>
      </c>
      <c r="E297" s="3">
        <v>209</v>
      </c>
      <c r="F297" s="3">
        <v>4600</v>
      </c>
      <c r="G297" s="3" t="s">
        <v>3</v>
      </c>
    </row>
    <row r="298" spans="1:7" x14ac:dyDescent="0.45">
      <c r="A298" s="3" t="s">
        <v>7</v>
      </c>
      <c r="B298" s="3" t="s">
        <v>4</v>
      </c>
      <c r="C298" s="4">
        <v>511</v>
      </c>
      <c r="D298" s="4">
        <v>163</v>
      </c>
      <c r="E298" s="3">
        <v>220</v>
      </c>
      <c r="F298" s="3">
        <v>6000</v>
      </c>
      <c r="G298" s="3" t="s">
        <v>2</v>
      </c>
    </row>
    <row r="299" spans="1:7" x14ac:dyDescent="0.45">
      <c r="A299" s="3" t="s">
        <v>7</v>
      </c>
      <c r="B299" s="3" t="s">
        <v>4</v>
      </c>
      <c r="C299" s="4">
        <v>452</v>
      </c>
      <c r="D299" s="4">
        <v>138</v>
      </c>
      <c r="E299" s="3">
        <v>215</v>
      </c>
      <c r="F299" s="3">
        <v>4750</v>
      </c>
      <c r="G299" s="3" t="s">
        <v>3</v>
      </c>
    </row>
    <row r="300" spans="1:7" x14ac:dyDescent="0.45">
      <c r="A300" s="3" t="s">
        <v>7</v>
      </c>
      <c r="B300" s="3" t="s">
        <v>4</v>
      </c>
      <c r="C300" s="4">
        <v>452</v>
      </c>
      <c r="D300" s="4">
        <v>164</v>
      </c>
      <c r="E300" s="3">
        <v>223</v>
      </c>
      <c r="F300" s="3">
        <v>5950</v>
      </c>
      <c r="G300" s="3" t="s">
        <v>2</v>
      </c>
    </row>
    <row r="301" spans="1:7" x14ac:dyDescent="0.45">
      <c r="A301" s="3" t="s">
        <v>7</v>
      </c>
      <c r="B301" s="3" t="s">
        <v>4</v>
      </c>
      <c r="C301" s="4">
        <v>491</v>
      </c>
      <c r="D301" s="4">
        <v>145</v>
      </c>
      <c r="E301" s="3">
        <v>212</v>
      </c>
      <c r="F301" s="3">
        <v>4625</v>
      </c>
      <c r="G301" s="3" t="s">
        <v>3</v>
      </c>
    </row>
    <row r="302" spans="1:7" x14ac:dyDescent="0.45">
      <c r="A302" s="3" t="s">
        <v>7</v>
      </c>
      <c r="B302" s="3" t="s">
        <v>4</v>
      </c>
      <c r="C302" s="4">
        <v>525</v>
      </c>
      <c r="D302" s="4">
        <v>156</v>
      </c>
      <c r="E302" s="3">
        <v>221</v>
      </c>
      <c r="F302" s="3">
        <v>5450</v>
      </c>
      <c r="G302" s="3" t="s">
        <v>2</v>
      </c>
    </row>
    <row r="303" spans="1:7" x14ac:dyDescent="0.45">
      <c r="A303" s="3" t="s">
        <v>7</v>
      </c>
      <c r="B303" s="3" t="s">
        <v>4</v>
      </c>
      <c r="C303" s="4">
        <v>474</v>
      </c>
      <c r="D303" s="4">
        <v>146</v>
      </c>
      <c r="E303" s="3">
        <v>212</v>
      </c>
      <c r="F303" s="3">
        <v>4725</v>
      </c>
      <c r="G303" s="3" t="s">
        <v>3</v>
      </c>
    </row>
    <row r="304" spans="1:7" x14ac:dyDescent="0.45">
      <c r="A304" s="3" t="s">
        <v>7</v>
      </c>
      <c r="B304" s="3" t="s">
        <v>4</v>
      </c>
      <c r="C304" s="4">
        <v>500</v>
      </c>
      <c r="D304" s="4">
        <v>159</v>
      </c>
      <c r="E304" s="3">
        <v>224</v>
      </c>
      <c r="F304" s="3">
        <v>5350</v>
      </c>
      <c r="G304" s="3" t="s">
        <v>2</v>
      </c>
    </row>
    <row r="305" spans="1:7" x14ac:dyDescent="0.45">
      <c r="A305" s="3" t="s">
        <v>7</v>
      </c>
      <c r="B305" s="3" t="s">
        <v>4</v>
      </c>
      <c r="C305" s="4">
        <v>449</v>
      </c>
      <c r="D305" s="4">
        <v>138</v>
      </c>
      <c r="E305" s="3">
        <v>212</v>
      </c>
      <c r="F305" s="3">
        <v>4750</v>
      </c>
      <c r="G305" s="3" t="s">
        <v>3</v>
      </c>
    </row>
    <row r="306" spans="1:7" x14ac:dyDescent="0.45">
      <c r="A306" s="3" t="s">
        <v>7</v>
      </c>
      <c r="B306" s="3" t="s">
        <v>4</v>
      </c>
      <c r="C306" s="4">
        <v>508</v>
      </c>
      <c r="D306" s="4">
        <v>173</v>
      </c>
      <c r="E306" s="3">
        <v>228</v>
      </c>
      <c r="F306" s="3">
        <v>5600</v>
      </c>
      <c r="G306" s="3" t="s">
        <v>2</v>
      </c>
    </row>
    <row r="307" spans="1:7" x14ac:dyDescent="0.45">
      <c r="A307" s="3" t="s">
        <v>7</v>
      </c>
      <c r="B307" s="3" t="s">
        <v>4</v>
      </c>
      <c r="C307" s="4">
        <v>434</v>
      </c>
      <c r="D307" s="4">
        <v>144</v>
      </c>
      <c r="E307" s="3">
        <v>218</v>
      </c>
      <c r="F307" s="3">
        <v>4600</v>
      </c>
      <c r="G307" s="3" t="s">
        <v>3</v>
      </c>
    </row>
    <row r="308" spans="1:7" x14ac:dyDescent="0.45">
      <c r="A308" s="3" t="s">
        <v>7</v>
      </c>
      <c r="B308" s="3" t="s">
        <v>4</v>
      </c>
      <c r="C308" s="4">
        <v>513</v>
      </c>
      <c r="D308" s="4">
        <v>142</v>
      </c>
      <c r="E308" s="3">
        <v>218</v>
      </c>
      <c r="F308" s="3">
        <v>5300</v>
      </c>
      <c r="G308" s="3" t="s">
        <v>2</v>
      </c>
    </row>
    <row r="309" spans="1:7" x14ac:dyDescent="0.45">
      <c r="A309" s="3" t="s">
        <v>7</v>
      </c>
      <c r="B309" s="3" t="s">
        <v>4</v>
      </c>
      <c r="C309" s="4">
        <v>475</v>
      </c>
      <c r="D309" s="4">
        <v>140</v>
      </c>
      <c r="E309" s="3">
        <v>212</v>
      </c>
      <c r="F309" s="3">
        <v>4875</v>
      </c>
      <c r="G309" s="3" t="s">
        <v>3</v>
      </c>
    </row>
    <row r="310" spans="1:7" x14ac:dyDescent="0.45">
      <c r="A310" s="3" t="s">
        <v>7</v>
      </c>
      <c r="B310" s="3" t="s">
        <v>4</v>
      </c>
      <c r="C310" s="4">
        <v>521</v>
      </c>
      <c r="D310" s="4">
        <v>170</v>
      </c>
      <c r="E310" s="3">
        <v>230</v>
      </c>
      <c r="F310" s="3">
        <v>5550</v>
      </c>
      <c r="G310" s="3" t="s">
        <v>2</v>
      </c>
    </row>
    <row r="311" spans="1:7" x14ac:dyDescent="0.45">
      <c r="A311" s="3" t="s">
        <v>7</v>
      </c>
      <c r="B311" s="3" t="s">
        <v>4</v>
      </c>
      <c r="C311" s="4">
        <v>475</v>
      </c>
      <c r="D311" s="4">
        <v>150</v>
      </c>
      <c r="E311" s="3">
        <v>218</v>
      </c>
      <c r="F311" s="3">
        <v>4950</v>
      </c>
      <c r="G311" s="3" t="s">
        <v>3</v>
      </c>
    </row>
    <row r="312" spans="1:7" x14ac:dyDescent="0.45">
      <c r="A312" s="3" t="s">
        <v>7</v>
      </c>
      <c r="B312" s="3" t="s">
        <v>4</v>
      </c>
      <c r="C312" s="4">
        <v>522</v>
      </c>
      <c r="D312" s="4">
        <v>171</v>
      </c>
      <c r="E312" s="3">
        <v>228</v>
      </c>
      <c r="F312" s="3">
        <v>5400</v>
      </c>
      <c r="G312" s="3" t="s">
        <v>2</v>
      </c>
    </row>
    <row r="313" spans="1:7" x14ac:dyDescent="0.45">
      <c r="A313" s="3" t="s">
        <v>7</v>
      </c>
      <c r="B313" s="3" t="s">
        <v>4</v>
      </c>
      <c r="C313" s="4">
        <v>455</v>
      </c>
      <c r="D313" s="4">
        <v>145</v>
      </c>
      <c r="E313" s="3">
        <v>212</v>
      </c>
      <c r="F313" s="3">
        <v>4750</v>
      </c>
      <c r="G313" s="3" t="s">
        <v>3</v>
      </c>
    </row>
    <row r="314" spans="1:7" x14ac:dyDescent="0.45">
      <c r="A314" s="3" t="s">
        <v>7</v>
      </c>
      <c r="B314" s="3" t="s">
        <v>4</v>
      </c>
      <c r="C314" s="4">
        <v>495</v>
      </c>
      <c r="D314" s="4">
        <v>161</v>
      </c>
      <c r="E314" s="3">
        <v>224</v>
      </c>
      <c r="F314" s="3">
        <v>5650</v>
      </c>
      <c r="G314" s="3" t="s">
        <v>2</v>
      </c>
    </row>
    <row r="315" spans="1:7" x14ac:dyDescent="0.45">
      <c r="A315" s="3" t="s">
        <v>7</v>
      </c>
      <c r="B315" s="3" t="s">
        <v>4</v>
      </c>
      <c r="C315" s="4">
        <v>445</v>
      </c>
      <c r="D315" s="4">
        <v>147</v>
      </c>
      <c r="E315" s="3">
        <v>214</v>
      </c>
      <c r="F315" s="3">
        <v>4850</v>
      </c>
      <c r="G315" s="3" t="s">
        <v>3</v>
      </c>
    </row>
    <row r="316" spans="1:7" x14ac:dyDescent="0.45">
      <c r="A316" s="3" t="s">
        <v>7</v>
      </c>
      <c r="B316" s="3" t="s">
        <v>4</v>
      </c>
      <c r="C316" s="4">
        <v>508</v>
      </c>
      <c r="D316" s="4">
        <v>157</v>
      </c>
      <c r="E316" s="3">
        <v>226</v>
      </c>
      <c r="F316" s="3">
        <v>5200</v>
      </c>
      <c r="G316" s="3" t="s">
        <v>2</v>
      </c>
    </row>
    <row r="317" spans="1:7" x14ac:dyDescent="0.45">
      <c r="A317" s="3" t="s">
        <v>7</v>
      </c>
      <c r="B317" s="3" t="s">
        <v>4</v>
      </c>
      <c r="C317" s="4">
        <v>494</v>
      </c>
      <c r="D317" s="4">
        <v>158</v>
      </c>
      <c r="E317" s="3">
        <v>216</v>
      </c>
      <c r="F317" s="3">
        <v>4925</v>
      </c>
      <c r="G317" s="3" t="s">
        <v>2</v>
      </c>
    </row>
    <row r="318" spans="1:7" x14ac:dyDescent="0.45">
      <c r="A318" s="3" t="s">
        <v>7</v>
      </c>
      <c r="B318" s="3" t="s">
        <v>4</v>
      </c>
      <c r="C318" s="4">
        <v>469</v>
      </c>
      <c r="D318" s="4">
        <v>146</v>
      </c>
      <c r="E318" s="3">
        <v>222</v>
      </c>
      <c r="F318" s="3">
        <v>4875</v>
      </c>
      <c r="G318" s="3" t="s">
        <v>3</v>
      </c>
    </row>
    <row r="319" spans="1:7" x14ac:dyDescent="0.45">
      <c r="A319" s="3" t="s">
        <v>7</v>
      </c>
      <c r="B319" s="3" t="s">
        <v>4</v>
      </c>
      <c r="C319" s="4">
        <v>484</v>
      </c>
      <c r="D319" s="4">
        <v>144</v>
      </c>
      <c r="E319" s="3">
        <v>203</v>
      </c>
      <c r="F319" s="3">
        <v>4625</v>
      </c>
      <c r="G319" s="3" t="s">
        <v>3</v>
      </c>
    </row>
    <row r="320" spans="1:7" x14ac:dyDescent="0.45">
      <c r="A320" s="3" t="s">
        <v>7</v>
      </c>
      <c r="B320" s="3" t="s">
        <v>4</v>
      </c>
      <c r="C320" s="4">
        <v>511</v>
      </c>
      <c r="D320" s="4">
        <v>165</v>
      </c>
      <c r="E320" s="3">
        <v>225</v>
      </c>
      <c r="F320" s="3">
        <v>5250</v>
      </c>
      <c r="G320" s="3" t="s">
        <v>2</v>
      </c>
    </row>
    <row r="321" spans="1:7" x14ac:dyDescent="0.45">
      <c r="A321" s="3" t="s">
        <v>7</v>
      </c>
      <c r="B321" s="3" t="s">
        <v>4</v>
      </c>
      <c r="C321" s="4">
        <v>485</v>
      </c>
      <c r="D321" s="4">
        <v>150</v>
      </c>
      <c r="E321" s="3">
        <v>219</v>
      </c>
      <c r="F321" s="3">
        <v>4850</v>
      </c>
      <c r="G321" s="3" t="s">
        <v>3</v>
      </c>
    </row>
    <row r="322" spans="1:7" x14ac:dyDescent="0.45">
      <c r="A322" s="3" t="s">
        <v>7</v>
      </c>
      <c r="B322" s="3" t="s">
        <v>4</v>
      </c>
      <c r="C322" s="4">
        <v>559</v>
      </c>
      <c r="D322" s="4">
        <v>170</v>
      </c>
      <c r="E322" s="3">
        <v>228</v>
      </c>
      <c r="F322" s="3">
        <v>5600</v>
      </c>
      <c r="G322" s="3" t="s">
        <v>2</v>
      </c>
    </row>
    <row r="323" spans="1:7" x14ac:dyDescent="0.45">
      <c r="A323" s="3" t="s">
        <v>7</v>
      </c>
      <c r="B323" s="3" t="s">
        <v>4</v>
      </c>
      <c r="C323" s="4">
        <v>472</v>
      </c>
      <c r="D323" s="4">
        <v>155</v>
      </c>
      <c r="E323" s="3">
        <v>215</v>
      </c>
      <c r="F323" s="3">
        <v>4975</v>
      </c>
      <c r="G323" s="3" t="s">
        <v>3</v>
      </c>
    </row>
    <row r="324" spans="1:7" x14ac:dyDescent="0.45">
      <c r="A324" s="3" t="s">
        <v>7</v>
      </c>
      <c r="B324" s="3" t="s">
        <v>4</v>
      </c>
      <c r="C324" s="4">
        <v>491</v>
      </c>
      <c r="D324" s="4">
        <v>150</v>
      </c>
      <c r="E324" s="3">
        <v>228</v>
      </c>
      <c r="F324" s="3">
        <v>5500</v>
      </c>
      <c r="G324" s="3" t="s">
        <v>2</v>
      </c>
    </row>
    <row r="325" spans="1:7" x14ac:dyDescent="0.45">
      <c r="A325" s="3" t="s">
        <v>7</v>
      </c>
      <c r="B325" s="3" t="s">
        <v>4</v>
      </c>
      <c r="C325" s="4">
        <v>473</v>
      </c>
      <c r="D325" s="4">
        <v>138</v>
      </c>
      <c r="E325" s="3">
        <v>216</v>
      </c>
      <c r="F325" s="3">
        <v>4725</v>
      </c>
      <c r="G325" s="3" t="s">
        <v>2</v>
      </c>
    </row>
    <row r="326" spans="1:7" x14ac:dyDescent="0.45">
      <c r="A326" s="3" t="s">
        <v>7</v>
      </c>
      <c r="B326" s="3" t="s">
        <v>4</v>
      </c>
      <c r="C326" s="4">
        <v>468</v>
      </c>
      <c r="D326" s="4">
        <v>161</v>
      </c>
      <c r="E326" s="3">
        <v>215</v>
      </c>
      <c r="F326" s="3">
        <v>5500</v>
      </c>
      <c r="G326" s="3" t="s">
        <v>2</v>
      </c>
    </row>
    <row r="327" spans="1:7" x14ac:dyDescent="0.45">
      <c r="A327" s="3" t="s">
        <v>7</v>
      </c>
      <c r="B327" s="3" t="s">
        <v>4</v>
      </c>
      <c r="C327" s="4">
        <v>417</v>
      </c>
      <c r="D327" s="4">
        <v>147</v>
      </c>
      <c r="E327" s="3">
        <v>210</v>
      </c>
      <c r="F327" s="3">
        <v>4700</v>
      </c>
      <c r="G327" s="3" t="s">
        <v>3</v>
      </c>
    </row>
    <row r="328" spans="1:7" x14ac:dyDescent="0.45">
      <c r="A328" s="3" t="s">
        <v>7</v>
      </c>
      <c r="B328" s="3" t="s">
        <v>4</v>
      </c>
      <c r="C328" s="4">
        <v>534</v>
      </c>
      <c r="D328" s="4">
        <v>158</v>
      </c>
      <c r="E328" s="3">
        <v>219</v>
      </c>
      <c r="F328" s="3">
        <v>5500</v>
      </c>
      <c r="G328" s="3" t="s">
        <v>2</v>
      </c>
    </row>
    <row r="329" spans="1:7" x14ac:dyDescent="0.45">
      <c r="A329" s="3" t="s">
        <v>7</v>
      </c>
      <c r="B329" s="3" t="s">
        <v>4</v>
      </c>
      <c r="C329" s="4">
        <v>433</v>
      </c>
      <c r="D329" s="4">
        <v>140</v>
      </c>
      <c r="E329" s="3">
        <v>208</v>
      </c>
      <c r="F329" s="3">
        <v>4575</v>
      </c>
      <c r="G329" s="3" t="s">
        <v>3</v>
      </c>
    </row>
    <row r="330" spans="1:7" x14ac:dyDescent="0.45">
      <c r="A330" s="3" t="s">
        <v>7</v>
      </c>
      <c r="B330" s="3" t="s">
        <v>4</v>
      </c>
      <c r="C330" s="4">
        <v>481</v>
      </c>
      <c r="D330" s="4">
        <v>151</v>
      </c>
      <c r="E330" s="3">
        <v>209</v>
      </c>
      <c r="F330" s="3">
        <v>5500</v>
      </c>
      <c r="G330" s="3" t="s">
        <v>2</v>
      </c>
    </row>
    <row r="331" spans="1:7" x14ac:dyDescent="0.45">
      <c r="A331" s="3" t="s">
        <v>7</v>
      </c>
      <c r="B331" s="3" t="s">
        <v>4</v>
      </c>
      <c r="C331" s="4">
        <v>505</v>
      </c>
      <c r="D331" s="4">
        <v>152</v>
      </c>
      <c r="E331" s="3">
        <v>216</v>
      </c>
      <c r="F331" s="3">
        <v>5000</v>
      </c>
      <c r="G331" s="3" t="s">
        <v>3</v>
      </c>
    </row>
    <row r="332" spans="1:7" x14ac:dyDescent="0.45">
      <c r="A332" s="3" t="s">
        <v>7</v>
      </c>
      <c r="B332" s="3" t="s">
        <v>4</v>
      </c>
      <c r="C332" s="4">
        <v>498</v>
      </c>
      <c r="D332" s="4">
        <v>159</v>
      </c>
      <c r="E332" s="3">
        <v>229</v>
      </c>
      <c r="F332" s="3">
        <v>5950</v>
      </c>
      <c r="G332" s="3" t="s">
        <v>2</v>
      </c>
    </row>
    <row r="333" spans="1:7" x14ac:dyDescent="0.45">
      <c r="A333" s="3" t="s">
        <v>7</v>
      </c>
      <c r="B333" s="3" t="s">
        <v>4</v>
      </c>
      <c r="C333" s="4">
        <v>435</v>
      </c>
      <c r="D333" s="4">
        <v>152</v>
      </c>
      <c r="E333" s="3">
        <v>213</v>
      </c>
      <c r="F333" s="3">
        <v>4650</v>
      </c>
      <c r="G333" s="3" t="s">
        <v>3</v>
      </c>
    </row>
    <row r="334" spans="1:7" x14ac:dyDescent="0.45">
      <c r="A334" s="3" t="s">
        <v>7</v>
      </c>
      <c r="B334" s="3" t="s">
        <v>4</v>
      </c>
      <c r="C334" s="4">
        <v>515</v>
      </c>
      <c r="D334" s="4">
        <v>163</v>
      </c>
      <c r="E334" s="3">
        <v>230</v>
      </c>
      <c r="F334" s="3">
        <v>5500</v>
      </c>
      <c r="G334" s="3" t="s">
        <v>2</v>
      </c>
    </row>
    <row r="335" spans="1:7" x14ac:dyDescent="0.45">
      <c r="A335" s="3" t="s">
        <v>7</v>
      </c>
      <c r="B335" s="3" t="s">
        <v>4</v>
      </c>
      <c r="C335" s="4">
        <v>462</v>
      </c>
      <c r="D335" s="4">
        <v>141</v>
      </c>
      <c r="E335" s="3">
        <v>217</v>
      </c>
      <c r="F335" s="3">
        <v>4375</v>
      </c>
      <c r="G335" s="3" t="s">
        <v>3</v>
      </c>
    </row>
    <row r="336" spans="1:7" x14ac:dyDescent="0.45">
      <c r="A336" s="3" t="s">
        <v>7</v>
      </c>
      <c r="B336" s="3" t="s">
        <v>4</v>
      </c>
      <c r="C336" s="4">
        <v>551</v>
      </c>
      <c r="D336" s="4">
        <v>160</v>
      </c>
      <c r="E336" s="3">
        <v>230</v>
      </c>
      <c r="F336" s="3">
        <v>5850</v>
      </c>
      <c r="G336" s="3" t="s">
        <v>2</v>
      </c>
    </row>
    <row r="337" spans="1:7" x14ac:dyDescent="0.45">
      <c r="A337" s="3" t="s">
        <v>7</v>
      </c>
      <c r="B337" s="3" t="s">
        <v>4</v>
      </c>
      <c r="C337" s="4">
        <v>445</v>
      </c>
      <c r="D337" s="4">
        <v>157</v>
      </c>
      <c r="E337" s="3">
        <v>217</v>
      </c>
      <c r="F337" s="3">
        <v>4875</v>
      </c>
      <c r="G337" s="3" t="s">
        <v>2</v>
      </c>
    </row>
    <row r="338" spans="1:7" x14ac:dyDescent="0.45">
      <c r="A338" s="3" t="s">
        <v>7</v>
      </c>
      <c r="B338" s="3" t="s">
        <v>4</v>
      </c>
      <c r="C338" s="4">
        <v>488</v>
      </c>
      <c r="D338" s="4">
        <v>162</v>
      </c>
      <c r="E338" s="3">
        <v>222</v>
      </c>
      <c r="F338" s="3">
        <v>6000</v>
      </c>
      <c r="G338" s="3" t="s">
        <v>2</v>
      </c>
    </row>
    <row r="339" spans="1:7" x14ac:dyDescent="0.45">
      <c r="A339" s="3" t="s">
        <v>7</v>
      </c>
      <c r="B339" s="3" t="s">
        <v>4</v>
      </c>
      <c r="C339" s="4">
        <v>472</v>
      </c>
      <c r="D339" s="4">
        <v>137</v>
      </c>
      <c r="E339" s="3">
        <v>214</v>
      </c>
      <c r="F339" s="3">
        <v>4925</v>
      </c>
      <c r="G339" s="3" t="s">
        <v>3</v>
      </c>
    </row>
    <row r="340" spans="1:7" x14ac:dyDescent="0.45">
      <c r="A340" s="3" t="s">
        <v>7</v>
      </c>
      <c r="B340" s="3" t="s">
        <v>4</v>
      </c>
      <c r="C340" s="4">
        <v>468</v>
      </c>
      <c r="D340" s="4">
        <v>143</v>
      </c>
      <c r="E340" s="3">
        <v>215</v>
      </c>
      <c r="F340" s="3">
        <v>4850</v>
      </c>
      <c r="G340" s="3" t="s">
        <v>3</v>
      </c>
    </row>
    <row r="341" spans="1:7" x14ac:dyDescent="0.45">
      <c r="A341" s="3" t="s">
        <v>7</v>
      </c>
      <c r="B341" s="3" t="s">
        <v>4</v>
      </c>
      <c r="C341" s="4">
        <v>504</v>
      </c>
      <c r="D341" s="4">
        <v>157</v>
      </c>
      <c r="E341" s="3">
        <v>222</v>
      </c>
      <c r="F341" s="3">
        <v>5750</v>
      </c>
      <c r="G341" s="3" t="s">
        <v>2</v>
      </c>
    </row>
    <row r="342" spans="1:7" x14ac:dyDescent="0.45">
      <c r="A342" s="3" t="s">
        <v>7</v>
      </c>
      <c r="B342" s="3" t="s">
        <v>4</v>
      </c>
      <c r="C342" s="4">
        <v>452</v>
      </c>
      <c r="D342" s="4">
        <v>148</v>
      </c>
      <c r="E342" s="3">
        <v>212</v>
      </c>
      <c r="F342" s="3">
        <v>5200</v>
      </c>
      <c r="G342" s="3" t="s">
        <v>3</v>
      </c>
    </row>
    <row r="343" spans="1:7" x14ac:dyDescent="0.45">
      <c r="A343" s="3" t="s">
        <v>7</v>
      </c>
      <c r="B343" s="3" t="s">
        <v>4</v>
      </c>
      <c r="C343" s="4">
        <v>499</v>
      </c>
      <c r="D343" s="4">
        <v>161</v>
      </c>
      <c r="E343" s="3">
        <v>213</v>
      </c>
      <c r="F343" s="3">
        <v>5400</v>
      </c>
      <c r="G343" s="3" t="s">
        <v>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5966-B11B-4321-8E2C-86070D94CFC6}">
  <dimension ref="A1:H15"/>
  <sheetViews>
    <sheetView workbookViewId="0"/>
  </sheetViews>
  <sheetFormatPr defaultColWidth="10.86328125" defaultRowHeight="14.25" x14ac:dyDescent="0.45"/>
  <cols>
    <col min="1" max="1" width="22.86328125" bestFit="1" customWidth="1"/>
    <col min="2" max="2" width="12.73046875" bestFit="1" customWidth="1"/>
  </cols>
  <sheetData>
    <row r="1" spans="1:8" x14ac:dyDescent="0.45">
      <c r="A1" s="8" t="s">
        <v>12</v>
      </c>
      <c r="B1" s="8"/>
      <c r="C1" s="8" t="s">
        <v>13</v>
      </c>
      <c r="D1" s="8"/>
      <c r="E1" s="8" t="s">
        <v>16</v>
      </c>
      <c r="F1" s="8"/>
      <c r="G1" s="8" t="s">
        <v>14</v>
      </c>
      <c r="H1" s="8"/>
    </row>
    <row r="3" spans="1:8" x14ac:dyDescent="0.45">
      <c r="A3" t="s">
        <v>24</v>
      </c>
      <c r="B3">
        <v>439.21929824561403</v>
      </c>
      <c r="C3" t="s">
        <v>24</v>
      </c>
      <c r="D3">
        <v>171.51169590643275</v>
      </c>
      <c r="E3" t="s">
        <v>24</v>
      </c>
      <c r="F3">
        <v>200.91520467836258</v>
      </c>
      <c r="G3" t="s">
        <v>24</v>
      </c>
      <c r="H3">
        <v>4201.7543859649122</v>
      </c>
    </row>
    <row r="4" spans="1:8" x14ac:dyDescent="0.45">
      <c r="A4" t="s">
        <v>25</v>
      </c>
      <c r="B4">
        <v>2.9522047628517618</v>
      </c>
      <c r="C4" t="s">
        <v>25</v>
      </c>
      <c r="D4">
        <v>1.0678458411270757</v>
      </c>
      <c r="E4" t="s">
        <v>25</v>
      </c>
      <c r="F4">
        <v>0.76037039219971969</v>
      </c>
      <c r="G4" t="s">
        <v>25</v>
      </c>
      <c r="H4">
        <v>43.364734821068588</v>
      </c>
    </row>
    <row r="5" spans="1:8" x14ac:dyDescent="0.45">
      <c r="A5" t="s">
        <v>26</v>
      </c>
      <c r="B5">
        <v>444.5</v>
      </c>
      <c r="C5" t="s">
        <v>26</v>
      </c>
      <c r="D5">
        <v>173</v>
      </c>
      <c r="E5" t="s">
        <v>26</v>
      </c>
      <c r="F5">
        <v>197</v>
      </c>
      <c r="G5" t="s">
        <v>26</v>
      </c>
      <c r="H5">
        <v>4050</v>
      </c>
    </row>
    <row r="6" spans="1:8" x14ac:dyDescent="0.45">
      <c r="A6" t="s">
        <v>27</v>
      </c>
      <c r="B6">
        <v>411</v>
      </c>
      <c r="C6" t="s">
        <v>27</v>
      </c>
      <c r="D6">
        <v>170</v>
      </c>
      <c r="E6" t="s">
        <v>27</v>
      </c>
      <c r="F6">
        <v>190</v>
      </c>
      <c r="G6" t="s">
        <v>27</v>
      </c>
      <c r="H6">
        <v>3800</v>
      </c>
    </row>
    <row r="7" spans="1:8" x14ac:dyDescent="0.45">
      <c r="A7" t="s">
        <v>28</v>
      </c>
      <c r="B7">
        <v>54.595837139265321</v>
      </c>
      <c r="C7" t="s">
        <v>28</v>
      </c>
      <c r="D7">
        <v>19.74793156816779</v>
      </c>
      <c r="E7" t="s">
        <v>28</v>
      </c>
      <c r="F7">
        <v>14.061713679356894</v>
      </c>
      <c r="G7" t="s">
        <v>28</v>
      </c>
      <c r="H7">
        <v>801.95453569809467</v>
      </c>
    </row>
    <row r="8" spans="1:8" x14ac:dyDescent="0.45">
      <c r="A8" t="s">
        <v>29</v>
      </c>
      <c r="B8">
        <v>2980.7054329371826</v>
      </c>
      <c r="C8" t="s">
        <v>29</v>
      </c>
      <c r="D8">
        <v>389.98080122103789</v>
      </c>
      <c r="E8" t="s">
        <v>29</v>
      </c>
      <c r="F8">
        <v>197.73179160021277</v>
      </c>
      <c r="G8" t="s">
        <v>29</v>
      </c>
      <c r="H8">
        <v>643131.07732674666</v>
      </c>
    </row>
    <row r="9" spans="1:8" x14ac:dyDescent="0.45">
      <c r="A9" t="s">
        <v>30</v>
      </c>
      <c r="B9">
        <v>-0.87602696630601029</v>
      </c>
      <c r="C9" t="s">
        <v>30</v>
      </c>
      <c r="D9">
        <v>-0.90686609037324661</v>
      </c>
      <c r="E9" t="s">
        <v>30</v>
      </c>
      <c r="F9">
        <v>-0.98427288618388786</v>
      </c>
      <c r="G9" t="s">
        <v>30</v>
      </c>
      <c r="H9">
        <v>-0.71922186583215231</v>
      </c>
    </row>
    <row r="10" spans="1:8" x14ac:dyDescent="0.45">
      <c r="A10" t="s">
        <v>31</v>
      </c>
      <c r="B10">
        <v>5.3118066991324049E-2</v>
      </c>
      <c r="C10" t="s">
        <v>31</v>
      </c>
      <c r="D10">
        <v>-0.14346462519436598</v>
      </c>
      <c r="E10" t="s">
        <v>31</v>
      </c>
      <c r="F10">
        <v>0.34568183286876802</v>
      </c>
      <c r="G10" t="s">
        <v>31</v>
      </c>
      <c r="H10">
        <v>0.47032933048012343</v>
      </c>
    </row>
    <row r="11" spans="1:8" x14ac:dyDescent="0.45">
      <c r="A11" t="s">
        <v>32</v>
      </c>
      <c r="B11">
        <v>275</v>
      </c>
      <c r="C11" t="s">
        <v>32</v>
      </c>
      <c r="D11">
        <v>84</v>
      </c>
      <c r="E11" t="s">
        <v>32</v>
      </c>
      <c r="F11">
        <v>59</v>
      </c>
      <c r="G11" t="s">
        <v>32</v>
      </c>
      <c r="H11">
        <v>3600</v>
      </c>
    </row>
    <row r="12" spans="1:8" x14ac:dyDescent="0.45">
      <c r="A12" t="s">
        <v>33</v>
      </c>
      <c r="B12">
        <v>321</v>
      </c>
      <c r="C12" t="s">
        <v>33</v>
      </c>
      <c r="D12">
        <v>131</v>
      </c>
      <c r="E12" t="s">
        <v>33</v>
      </c>
      <c r="F12">
        <v>172</v>
      </c>
      <c r="G12" t="s">
        <v>33</v>
      </c>
      <c r="H12">
        <v>2700</v>
      </c>
    </row>
    <row r="13" spans="1:8" x14ac:dyDescent="0.45">
      <c r="A13" t="s">
        <v>34</v>
      </c>
      <c r="B13">
        <v>596</v>
      </c>
      <c r="C13" t="s">
        <v>34</v>
      </c>
      <c r="D13">
        <v>215</v>
      </c>
      <c r="E13" t="s">
        <v>34</v>
      </c>
      <c r="F13">
        <v>231</v>
      </c>
      <c r="G13" t="s">
        <v>34</v>
      </c>
      <c r="H13">
        <v>6300</v>
      </c>
    </row>
    <row r="14" spans="1:8" x14ac:dyDescent="0.45">
      <c r="A14" t="s">
        <v>35</v>
      </c>
      <c r="B14">
        <v>150213</v>
      </c>
      <c r="C14" t="s">
        <v>35</v>
      </c>
      <c r="D14">
        <v>58657</v>
      </c>
      <c r="E14" t="s">
        <v>35</v>
      </c>
      <c r="F14">
        <v>68713</v>
      </c>
      <c r="G14" t="s">
        <v>35</v>
      </c>
      <c r="H14">
        <v>1437000</v>
      </c>
    </row>
    <row r="15" spans="1:8" ht="14.65" thickBot="1" x14ac:dyDescent="0.5">
      <c r="A15" s="7" t="s">
        <v>36</v>
      </c>
      <c r="B15" s="7">
        <v>342</v>
      </c>
      <c r="C15" s="7" t="s">
        <v>36</v>
      </c>
      <c r="D15" s="7">
        <v>342</v>
      </c>
      <c r="E15" s="7" t="s">
        <v>36</v>
      </c>
      <c r="F15" s="7">
        <v>342</v>
      </c>
      <c r="G15" s="7" t="s">
        <v>36</v>
      </c>
      <c r="H15" s="7">
        <v>342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1AE8E5-FB70-4A4D-A440-B814CD85B6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Penguins data</vt:lpstr>
      <vt:lpstr>Penguins data as table</vt:lpstr>
      <vt:lpstr>Penguins data with names</vt:lpstr>
      <vt:lpstr>2D references</vt:lpstr>
      <vt:lpstr>Plugin of data analysis</vt:lpstr>
      <vt:lpstr>IFS 1</vt:lpstr>
      <vt:lpstr>IFS 2</vt:lpstr>
      <vt:lpstr>addin result</vt:lpstr>
      <vt:lpstr>culmen_length_mm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López, Miguel</dc:creator>
  <cp:lastModifiedBy>Guada Azze, Abel</cp:lastModifiedBy>
  <dcterms:created xsi:type="dcterms:W3CDTF">2022-04-20T13:26:40Z</dcterms:created>
  <dcterms:modified xsi:type="dcterms:W3CDTF">2025-10-22T13:20:27Z</dcterms:modified>
</cp:coreProperties>
</file>