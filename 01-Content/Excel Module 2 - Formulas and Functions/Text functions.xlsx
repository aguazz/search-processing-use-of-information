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2 - Formulas and Functions/"/>
    </mc:Choice>
  </mc:AlternateContent>
  <xr:revisionPtr revIDLastSave="92" documentId="13_ncr:1_{73DF66A4-F06B-4389-9E22-0D4F5DD3D733}" xr6:coauthVersionLast="47" xr6:coauthVersionMax="47" xr10:uidLastSave="{FE8DA0C2-1D16-4FE0-AF8A-5F006286E10E}"/>
  <bookViews>
    <workbookView xWindow="-98" yWindow="-98" windowWidth="21795" windowHeight="12975" activeTab="1" xr2:uid="{1A53BA23-41C7-4A05-A2B0-EE1C88520F2B}"/>
  </bookViews>
  <sheets>
    <sheet name="Text functions" sheetId="1" r:id="rId1"/>
    <sheet name="concat" sheetId="2" r:id="rId2"/>
    <sheet name="Text Cleaning" sheetId="3" r:id="rId3"/>
    <sheet name="Text Cleaning with FlashFill" sheetId="4" r:id="rId4"/>
  </sheets>
  <definedNames>
    <definedName name="_xlchart.v1.0" hidden="1">concat!$G$3:$G$21</definedName>
    <definedName name="_xlchart.v1.1" hidden="1">concat!$H$3:$H$21</definedName>
    <definedName name="_xlchart.v1.2" hidden="1">concat!$G$3:$G$21</definedName>
    <definedName name="_xlchart.v1.3" hidden="1">concat!$H$3:$H$21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3" i="2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5" i="3"/>
  <c r="E4" i="1"/>
  <c r="E5" i="1"/>
  <c r="E6" i="1"/>
  <c r="E7" i="1"/>
  <c r="E8" i="1"/>
  <c r="E9" i="1"/>
  <c r="E10" i="1"/>
  <c r="C4" i="1"/>
  <c r="H4" i="1" s="1"/>
  <c r="C5" i="1"/>
  <c r="H5" i="1" s="1"/>
  <c r="C6" i="1"/>
  <c r="C7" i="1"/>
  <c r="C8" i="1"/>
  <c r="H8" i="1" s="1"/>
  <c r="C9" i="1"/>
  <c r="H9" i="1" s="1"/>
  <c r="C10" i="1"/>
  <c r="H10" i="1" s="1"/>
  <c r="C3" i="1"/>
  <c r="B4" i="1"/>
  <c r="D4" i="1" s="1"/>
  <c r="G4" i="1" s="1"/>
  <c r="B5" i="1"/>
  <c r="D5" i="1" s="1"/>
  <c r="G5" i="1" s="1"/>
  <c r="B6" i="1"/>
  <c r="D6" i="1" s="1"/>
  <c r="G6" i="1" s="1"/>
  <c r="B7" i="1"/>
  <c r="D7" i="1" s="1"/>
  <c r="G7" i="1" s="1"/>
  <c r="B8" i="1"/>
  <c r="D8" i="1" s="1"/>
  <c r="G8" i="1" s="1"/>
  <c r="B9" i="1"/>
  <c r="D9" i="1" s="1"/>
  <c r="G9" i="1" s="1"/>
  <c r="B10" i="1"/>
  <c r="D10" i="1" s="1"/>
  <c r="G10" i="1" s="1"/>
  <c r="B3" i="1"/>
  <c r="E3" i="1" s="1"/>
  <c r="I44" i="2"/>
  <c r="H44" i="2"/>
  <c r="I43" i="2"/>
  <c r="J43" i="2" s="1"/>
  <c r="H43" i="2"/>
  <c r="I42" i="2"/>
  <c r="H42" i="2"/>
  <c r="J41" i="2"/>
  <c r="I41" i="2"/>
  <c r="H41" i="2"/>
  <c r="I40" i="2"/>
  <c r="H40" i="2"/>
  <c r="I39" i="2"/>
  <c r="J39" i="2" s="1"/>
  <c r="H39" i="2"/>
  <c r="I38" i="2"/>
  <c r="H38" i="2"/>
  <c r="I37" i="2"/>
  <c r="J37" i="2" s="1"/>
  <c r="H37" i="2"/>
  <c r="I36" i="2"/>
  <c r="H36" i="2"/>
  <c r="J35" i="2"/>
  <c r="I35" i="2"/>
  <c r="H35" i="2"/>
  <c r="I34" i="2"/>
  <c r="H34" i="2"/>
  <c r="I33" i="2"/>
  <c r="J33" i="2" s="1"/>
  <c r="H33" i="2"/>
  <c r="I32" i="2"/>
  <c r="H32" i="2"/>
  <c r="I31" i="2"/>
  <c r="J31" i="2" s="1"/>
  <c r="H31" i="2"/>
  <c r="I30" i="2"/>
  <c r="H30" i="2"/>
  <c r="I29" i="2"/>
  <c r="J29" i="2" s="1"/>
  <c r="H29" i="2"/>
  <c r="I28" i="2"/>
  <c r="H28" i="2"/>
  <c r="I27" i="2"/>
  <c r="J27" i="2" s="1"/>
  <c r="H27" i="2"/>
  <c r="I26" i="2"/>
  <c r="H26" i="2"/>
  <c r="I21" i="2"/>
  <c r="J21" i="2" s="1"/>
  <c r="H21" i="2"/>
  <c r="I20" i="2"/>
  <c r="H20" i="2"/>
  <c r="I19" i="2"/>
  <c r="J19" i="2" s="1"/>
  <c r="H19" i="2"/>
  <c r="I18" i="2"/>
  <c r="J18" i="2" s="1"/>
  <c r="H18" i="2"/>
  <c r="I17" i="2"/>
  <c r="J17" i="2" s="1"/>
  <c r="H17" i="2"/>
  <c r="I16" i="2"/>
  <c r="H16" i="2"/>
  <c r="I15" i="2"/>
  <c r="J15" i="2" s="1"/>
  <c r="H15" i="2"/>
  <c r="I14" i="2"/>
  <c r="H14" i="2"/>
  <c r="I13" i="2"/>
  <c r="J13" i="2" s="1"/>
  <c r="H13" i="2"/>
  <c r="I12" i="2"/>
  <c r="J12" i="2" s="1"/>
  <c r="H12" i="2"/>
  <c r="I11" i="2"/>
  <c r="J11" i="2" s="1"/>
  <c r="H11" i="2"/>
  <c r="I10" i="2"/>
  <c r="H10" i="2"/>
  <c r="I9" i="2"/>
  <c r="J9" i="2" s="1"/>
  <c r="H9" i="2"/>
  <c r="I8" i="2"/>
  <c r="H8" i="2"/>
  <c r="I7" i="2"/>
  <c r="J7" i="2" s="1"/>
  <c r="H7" i="2"/>
  <c r="I6" i="2"/>
  <c r="H6" i="2"/>
  <c r="J5" i="2"/>
  <c r="I5" i="2"/>
  <c r="H5" i="2"/>
  <c r="I4" i="2"/>
  <c r="H4" i="2"/>
  <c r="I3" i="2"/>
  <c r="J3" i="2" s="1"/>
  <c r="H3" i="2"/>
  <c r="H7" i="1" l="1"/>
  <c r="H6" i="1"/>
  <c r="J42" i="2"/>
  <c r="J30" i="2"/>
  <c r="J20" i="2"/>
  <c r="D3" i="1"/>
  <c r="F3" i="1"/>
  <c r="J32" i="2"/>
  <c r="F10" i="1"/>
  <c r="J26" i="2"/>
  <c r="F9" i="1"/>
  <c r="J16" i="2"/>
  <c r="F8" i="1"/>
  <c r="J10" i="2"/>
  <c r="F7" i="1"/>
  <c r="J4" i="2"/>
  <c r="J40" i="2"/>
  <c r="F6" i="1"/>
  <c r="J34" i="2"/>
  <c r="F5" i="1"/>
  <c r="J28" i="2"/>
  <c r="F4" i="1"/>
  <c r="J6" i="2"/>
  <c r="J36" i="2"/>
  <c r="J14" i="2"/>
  <c r="J8" i="2"/>
  <c r="J44" i="2"/>
  <c r="J38" i="2"/>
  <c r="G3" i="1" l="1"/>
  <c r="H3" i="1"/>
</calcChain>
</file>

<file path=xl/sharedStrings.xml><?xml version="1.0" encoding="utf-8"?>
<sst xmlns="http://schemas.openxmlformats.org/spreadsheetml/2006/main" count="377" uniqueCount="139">
  <si>
    <t>Isabel Navarro Yébenes</t>
  </si>
  <si>
    <t>Luis Aaron  Presley</t>
  </si>
  <si>
    <t>Jacinto Rúiz Vázquez</t>
  </si>
  <si>
    <t xml:space="preserve">Pepe Robinson </t>
  </si>
  <si>
    <t>Amaya Segovia Pérez</t>
  </si>
  <si>
    <t>Antonio Jorquera Nuñez</t>
  </si>
  <si>
    <t>Alfredo López Ruiz</t>
  </si>
  <si>
    <t>Paula Sánchez Cerro</t>
  </si>
  <si>
    <t>Name</t>
  </si>
  <si>
    <t xml:space="preserve">Fruit </t>
  </si>
  <si>
    <t>Box Size</t>
  </si>
  <si>
    <t>Cost</t>
  </si>
  <si>
    <t>Price</t>
  </si>
  <si>
    <t>Buyer</t>
  </si>
  <si>
    <t>Quantity</t>
  </si>
  <si>
    <t>Fruit Origin</t>
  </si>
  <si>
    <t>Total Cost</t>
  </si>
  <si>
    <t>Total Income</t>
  </si>
  <si>
    <t xml:space="preserve">Profit </t>
  </si>
  <si>
    <t>Banana</t>
  </si>
  <si>
    <t>Alcampo</t>
  </si>
  <si>
    <t>Costa Rica</t>
  </si>
  <si>
    <t>Mercadona</t>
  </si>
  <si>
    <t>Dia</t>
  </si>
  <si>
    <t>Lidl</t>
  </si>
  <si>
    <t>Pineapple</t>
  </si>
  <si>
    <t>Mango</t>
  </si>
  <si>
    <t>India</t>
  </si>
  <si>
    <t>Phrase</t>
  </si>
  <si>
    <t>28951T-Francisco*Matemáticas</t>
  </si>
  <si>
    <t>29559M-eva*Contabilidad</t>
  </si>
  <si>
    <t>27483T-Jimena*Economía</t>
  </si>
  <si>
    <t>29607T-Miguel*Contabilidad</t>
  </si>
  <si>
    <t>32846M-Estefanía*Estadística</t>
  </si>
  <si>
    <t>23638T-Jimena*Matemáticas</t>
  </si>
  <si>
    <t>33360M-francisco*Matemáticas</t>
  </si>
  <si>
    <t>35463T-emilio*Contabilidad</t>
  </si>
  <si>
    <t>22613M-Emilio*Estadística</t>
  </si>
  <si>
    <t>35492M-manuel*Contabilidad</t>
  </si>
  <si>
    <t>26528M-Juan*Economía</t>
  </si>
  <si>
    <t>27969T-Yaiza*Matemáticas</t>
  </si>
  <si>
    <t>26743T-Ignacio*Economía</t>
  </si>
  <si>
    <t>22415M-Luis*Matemáticas</t>
  </si>
  <si>
    <t>26845M-Álvaro*Estadística</t>
  </si>
  <si>
    <t>29228T-Juan*Estadística</t>
  </si>
  <si>
    <t>27411M-Pilar*Economía</t>
  </si>
  <si>
    <t>24720M-Pilar*Estadística</t>
  </si>
  <si>
    <t>25482M-Diego*Matemáticas</t>
  </si>
  <si>
    <t>27699M-Jimena*Economía</t>
  </si>
  <si>
    <t>35830T-Francisco*Economía</t>
  </si>
  <si>
    <t>36134M-Pilar*Economía</t>
  </si>
  <si>
    <t>27243M-José*Contabilidad</t>
  </si>
  <si>
    <t>32648T-Paula*Economía</t>
  </si>
  <si>
    <t>30118M-Lydia*Economía</t>
  </si>
  <si>
    <t>35457T-carmen*Economía</t>
  </si>
  <si>
    <t>31073T-Lydia*Estadística</t>
  </si>
  <si>
    <t>26679T-Yaiza*Contabilidad</t>
  </si>
  <si>
    <t>29987M-Manuel*Estadística</t>
  </si>
  <si>
    <t>32414T-Román*Contabilidad</t>
  </si>
  <si>
    <t>26019M-Yaiza*Estadística</t>
  </si>
  <si>
    <t>23270T-Begoña*Economía</t>
  </si>
  <si>
    <t>23837M-juan*Matemáticas</t>
  </si>
  <si>
    <t>Column data</t>
  </si>
  <si>
    <t>Class</t>
  </si>
  <si>
    <t>M/T</t>
  </si>
  <si>
    <t>M/T manana o tarde</t>
  </si>
  <si>
    <t>Text functions :LEFT, RIGHT, MID, FIND, LEN</t>
  </si>
  <si>
    <t>length</t>
  </si>
  <si>
    <t>first name</t>
  </si>
  <si>
    <t>surnames</t>
  </si>
  <si>
    <t>name and first surname</t>
  </si>
  <si>
    <t>second surname</t>
  </si>
  <si>
    <t>first blank space</t>
  </si>
  <si>
    <t>second blank space</t>
  </si>
  <si>
    <t>FLASH FILL test</t>
  </si>
  <si>
    <t>Use CONCAT to build a sentence that tells how many of each kind of fruit you sold to which buyer and how much money was made on the deal.</t>
  </si>
  <si>
    <t>The same with flash fill</t>
  </si>
  <si>
    <t>With the information in column A, which comes from a file without format, put the information in the corresponding columns</t>
  </si>
  <si>
    <t>Registration Code (5 digits)</t>
  </si>
  <si>
    <t>With the information in column A, which comes from a file without format, put the information in the corresponding columns, using flash fill</t>
  </si>
  <si>
    <t>Registration Code</t>
  </si>
  <si>
    <t>Isabel</t>
  </si>
  <si>
    <t>Luis</t>
  </si>
  <si>
    <t>Jacinto</t>
  </si>
  <si>
    <t>Pepe</t>
  </si>
  <si>
    <t>Amaya</t>
  </si>
  <si>
    <t>Antonio</t>
  </si>
  <si>
    <t>Alfredo</t>
  </si>
  <si>
    <t>Paula</t>
  </si>
  <si>
    <t>Navarro</t>
  </si>
  <si>
    <t>Aaron</t>
  </si>
  <si>
    <t>Rúiz</t>
  </si>
  <si>
    <t>Segovia</t>
  </si>
  <si>
    <t>Jorquera</t>
  </si>
  <si>
    <t>López</t>
  </si>
  <si>
    <t>Sánchez</t>
  </si>
  <si>
    <t>Isabel Navarro</t>
  </si>
  <si>
    <t>Luis Aaron</t>
  </si>
  <si>
    <t>Jacinto Rúiz</t>
  </si>
  <si>
    <t>Pepe Pepe</t>
  </si>
  <si>
    <t>Amaya Segovia</t>
  </si>
  <si>
    <t>Antonio Jorquera</t>
  </si>
  <si>
    <t>Alfredo López</t>
  </si>
  <si>
    <t>Paula Sánchez</t>
  </si>
  <si>
    <t>Yébenes</t>
  </si>
  <si>
    <t>Presley</t>
  </si>
  <si>
    <t>Vázquez</t>
  </si>
  <si>
    <t>Pérez</t>
  </si>
  <si>
    <t>Nuñez</t>
  </si>
  <si>
    <t>Ruiz</t>
  </si>
  <si>
    <t>Cerro</t>
  </si>
  <si>
    <t>Francisco</t>
  </si>
  <si>
    <t>eva</t>
  </si>
  <si>
    <t>Jimena</t>
  </si>
  <si>
    <t>Miguel</t>
  </si>
  <si>
    <t>Estefanía</t>
  </si>
  <si>
    <t>francisco</t>
  </si>
  <si>
    <t>emilio</t>
  </si>
  <si>
    <t>Emilio</t>
  </si>
  <si>
    <t>manuel</t>
  </si>
  <si>
    <t>Juan</t>
  </si>
  <si>
    <t>Yaiza</t>
  </si>
  <si>
    <t>Ignacio</t>
  </si>
  <si>
    <t>Álvaro</t>
  </si>
  <si>
    <t>Pilar</t>
  </si>
  <si>
    <t>Diego</t>
  </si>
  <si>
    <t>José</t>
  </si>
  <si>
    <t>Lydia</t>
  </si>
  <si>
    <t>carmen</t>
  </si>
  <si>
    <t>Manuel</t>
  </si>
  <si>
    <t>Román</t>
  </si>
  <si>
    <t>Begoña</t>
  </si>
  <si>
    <t>juan</t>
  </si>
  <si>
    <t>Matemáticas</t>
  </si>
  <si>
    <t>Contabilidad</t>
  </si>
  <si>
    <t>Economía</t>
  </si>
  <si>
    <t>Estadística</t>
  </si>
  <si>
    <t>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</si>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</sst>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_-;\-[$€-2]\ * #,##0_-;_-[$€-2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4" borderId="0" applyNumberFormat="0" applyBorder="0" applyAlignment="0" applyProtection="0"/>
    <xf numFmtId="0" fontId="3" fillId="5" borderId="2" applyNumberFormat="0" applyAlignment="0" applyProtection="0"/>
    <xf numFmtId="0" fontId="4" fillId="6" borderId="0" applyNumberFormat="0" applyBorder="0" applyAlignment="0" applyProtection="0"/>
    <xf numFmtId="0" fontId="7" fillId="0" borderId="0"/>
  </cellStyleXfs>
  <cellXfs count="3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3" fillId="5" borderId="2" xfId="2" applyAlignment="1">
      <alignment horizontal="center"/>
    </xf>
    <xf numFmtId="0" fontId="4" fillId="6" borderId="1" xfId="3" applyBorder="1" applyAlignment="1">
      <alignment horizontal="center"/>
    </xf>
    <xf numFmtId="0" fontId="6" fillId="8" borderId="3" xfId="0" applyFont="1" applyFill="1" applyBorder="1"/>
    <xf numFmtId="0" fontId="6" fillId="8" borderId="4" xfId="0" applyFont="1" applyFill="1" applyBorder="1"/>
    <xf numFmtId="164" fontId="6" fillId="8" borderId="4" xfId="0" applyNumberFormat="1" applyFont="1" applyFill="1" applyBorder="1"/>
    <xf numFmtId="0" fontId="6" fillId="8" borderId="5" xfId="0" applyFont="1" applyFill="1" applyBorder="1"/>
    <xf numFmtId="164" fontId="6" fillId="8" borderId="5" xfId="0" applyNumberFormat="1" applyFont="1" applyFill="1" applyBorder="1"/>
    <xf numFmtId="0" fontId="6" fillId="0" borderId="3" xfId="0" applyFont="1" applyBorder="1"/>
    <xf numFmtId="0" fontId="6" fillId="0" borderId="4" xfId="0" applyFont="1" applyBorder="1"/>
    <xf numFmtId="164" fontId="6" fillId="0" borderId="4" xfId="0" applyNumberFormat="1" applyFont="1" applyBorder="1"/>
    <xf numFmtId="0" fontId="6" fillId="0" borderId="5" xfId="0" applyFont="1" applyBorder="1"/>
    <xf numFmtId="0" fontId="5" fillId="7" borderId="5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5" borderId="8" xfId="2" applyBorder="1" applyAlignment="1">
      <alignment horizontal="center"/>
    </xf>
    <xf numFmtId="0" fontId="7" fillId="0" borderId="0" xfId="4"/>
    <xf numFmtId="0" fontId="1" fillId="0" borderId="0" xfId="4" applyFont="1" applyAlignment="1">
      <alignment horizontal="center"/>
    </xf>
    <xf numFmtId="0" fontId="7" fillId="0" borderId="0" xfId="4" applyAlignment="1">
      <alignment horizontal="left"/>
    </xf>
    <xf numFmtId="0" fontId="1" fillId="9" borderId="16" xfId="4" applyFont="1" applyFill="1" applyBorder="1" applyAlignment="1">
      <alignment horizontal="left"/>
    </xf>
    <xf numFmtId="0" fontId="7" fillId="0" borderId="1" xfId="4" applyBorder="1" applyAlignment="1">
      <alignment horizontal="left"/>
    </xf>
    <xf numFmtId="0" fontId="2" fillId="4" borderId="9" xfId="1" applyBorder="1" applyAlignment="1">
      <alignment horizontal="center"/>
    </xf>
    <xf numFmtId="0" fontId="2" fillId="4" borderId="10" xfId="1" applyBorder="1" applyAlignment="1">
      <alignment horizontal="center"/>
    </xf>
    <xf numFmtId="0" fontId="2" fillId="4" borderId="11" xfId="1" applyBorder="1" applyAlignment="1">
      <alignment horizontal="center"/>
    </xf>
    <xf numFmtId="0" fontId="2" fillId="4" borderId="17" xfId="1" applyBorder="1" applyAlignment="1">
      <alignment horizontal="center" wrapText="1"/>
    </xf>
    <xf numFmtId="0" fontId="2" fillId="4" borderId="0" xfId="1" applyBorder="1" applyAlignment="1">
      <alignment horizontal="center" wrapText="1"/>
    </xf>
    <xf numFmtId="0" fontId="2" fillId="4" borderId="6" xfId="1" applyBorder="1" applyAlignment="1">
      <alignment horizontal="center"/>
    </xf>
    <xf numFmtId="0" fontId="7" fillId="2" borderId="12" xfId="4" applyFill="1" applyBorder="1" applyAlignment="1">
      <alignment horizontal="center" vertical="center" wrapText="1"/>
    </xf>
    <xf numFmtId="0" fontId="7" fillId="2" borderId="13" xfId="4" applyFill="1" applyBorder="1" applyAlignment="1">
      <alignment horizontal="center" vertical="center" wrapText="1"/>
    </xf>
    <xf numFmtId="0" fontId="7" fillId="2" borderId="14" xfId="4" applyFill="1" applyBorder="1" applyAlignment="1">
      <alignment horizontal="center" vertical="center" wrapText="1"/>
    </xf>
    <xf numFmtId="0" fontId="7" fillId="2" borderId="15" xfId="4" applyFill="1" applyBorder="1" applyAlignment="1">
      <alignment horizontal="center" vertical="center" wrapText="1"/>
    </xf>
  </cellXfs>
  <cellStyles count="5">
    <cellStyle name="Accent5" xfId="3" builtinId="45"/>
    <cellStyle name="Calculation" xfId="2" builtinId="22"/>
    <cellStyle name="Neutral" xfId="1" builtinId="28"/>
    <cellStyle name="Normal" xfId="0" builtinId="0"/>
    <cellStyle name="Normal 2" xfId="4" xr:uid="{50E2EFA3-44C6-4A5F-B175-4331BED0263F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3160-15D4-4EB3-BCDE-3EF339AF90FF}">
  <dimension ref="A1:H23"/>
  <sheetViews>
    <sheetView workbookViewId="0">
      <selection activeCell="F18" sqref="F18"/>
    </sheetView>
  </sheetViews>
  <sheetFormatPr defaultColWidth="9.140625" defaultRowHeight="15" x14ac:dyDescent="0.25"/>
  <cols>
    <col min="1" max="1" width="30.5703125" customWidth="1"/>
    <col min="2" max="2" width="23.42578125" bestFit="1" customWidth="1"/>
    <col min="3" max="3" width="14.42578125" customWidth="1"/>
    <col min="4" max="4" width="27.85546875" customWidth="1"/>
    <col min="5" max="5" width="16.42578125" bestFit="1" customWidth="1"/>
    <col min="6" max="6" width="26" customWidth="1"/>
    <col min="7" max="7" width="25.7109375" customWidth="1"/>
    <col min="8" max="8" width="23.140625" customWidth="1"/>
    <col min="11" max="11" width="79.5703125" customWidth="1"/>
  </cols>
  <sheetData>
    <row r="1" spans="1:8" ht="15.75" customHeight="1" x14ac:dyDescent="0.25">
      <c r="A1" s="27" t="s">
        <v>66</v>
      </c>
      <c r="B1" s="28"/>
      <c r="C1" s="28"/>
      <c r="D1" s="28"/>
      <c r="E1" s="28"/>
      <c r="F1" s="28"/>
      <c r="G1" s="28"/>
    </row>
    <row r="2" spans="1:8" x14ac:dyDescent="0.25">
      <c r="A2" s="17" t="s">
        <v>8</v>
      </c>
      <c r="B2" s="18" t="s">
        <v>72</v>
      </c>
      <c r="C2" s="18" t="s">
        <v>67</v>
      </c>
      <c r="D2" s="3" t="s">
        <v>73</v>
      </c>
      <c r="E2" s="4" t="s">
        <v>68</v>
      </c>
      <c r="F2" s="4" t="s">
        <v>69</v>
      </c>
      <c r="G2" s="4" t="s">
        <v>70</v>
      </c>
      <c r="H2" s="4" t="s">
        <v>71</v>
      </c>
    </row>
    <row r="3" spans="1:8" x14ac:dyDescent="0.25">
      <c r="A3" s="1" t="s">
        <v>0</v>
      </c>
      <c r="B3" s="2">
        <f>FIND(" ",A3)</f>
        <v>7</v>
      </c>
      <c r="C3" s="2">
        <f>LEN(A3)</f>
        <v>22</v>
      </c>
      <c r="D3" s="2">
        <f>FIND(" ",A3,B3+1)</f>
        <v>15</v>
      </c>
      <c r="E3" s="2" t="str">
        <f>LEFT(A3,B3-1)</f>
        <v>Isabel</v>
      </c>
      <c r="F3" s="2" t="str">
        <f>RIGHT(A3,C3-B3)</f>
        <v>Navarro Yébenes</v>
      </c>
      <c r="G3" s="2" t="str">
        <f>LEFT(A3,D3-1)</f>
        <v>Isabel Navarro</v>
      </c>
      <c r="H3" s="2" t="str">
        <f>RIGHT(A3,C3-D3)</f>
        <v>Yébenes</v>
      </c>
    </row>
    <row r="4" spans="1:8" x14ac:dyDescent="0.25">
      <c r="A4" s="1" t="s">
        <v>1</v>
      </c>
      <c r="B4" s="2">
        <f t="shared" ref="B4:B10" si="0">FIND(" ",A4)</f>
        <v>5</v>
      </c>
      <c r="C4" s="2">
        <f t="shared" ref="C4:C10" si="1">LEN(A4)</f>
        <v>19</v>
      </c>
      <c r="D4" s="2">
        <f t="shared" ref="D4:D10" si="2">FIND(" ",A4,B4+1)</f>
        <v>11</v>
      </c>
      <c r="E4" s="2" t="str">
        <f t="shared" ref="E4:E10" si="3">LEFT(A4,B4-1)</f>
        <v>Luis</v>
      </c>
      <c r="F4" s="2" t="str">
        <f t="shared" ref="F4:F10" si="4">RIGHT(A4,C4-B4)</f>
        <v>Aaron  Presley</v>
      </c>
      <c r="G4" s="2" t="str">
        <f t="shared" ref="G4:G10" si="5">LEFT(A4,D4-1)</f>
        <v>Luis Aaron</v>
      </c>
      <c r="H4" s="2" t="str">
        <f t="shared" ref="H4:H10" si="6">RIGHT(A4,C4-D4)</f>
        <v xml:space="preserve"> Presley</v>
      </c>
    </row>
    <row r="5" spans="1:8" x14ac:dyDescent="0.25">
      <c r="A5" s="1" t="s">
        <v>2</v>
      </c>
      <c r="B5" s="2">
        <f t="shared" si="0"/>
        <v>8</v>
      </c>
      <c r="C5" s="2">
        <f t="shared" si="1"/>
        <v>20</v>
      </c>
      <c r="D5" s="2">
        <f t="shared" si="2"/>
        <v>13</v>
      </c>
      <c r="E5" s="2" t="str">
        <f t="shared" si="3"/>
        <v>Jacinto</v>
      </c>
      <c r="F5" s="2" t="str">
        <f t="shared" si="4"/>
        <v>Rúiz Vázquez</v>
      </c>
      <c r="G5" s="2" t="str">
        <f t="shared" si="5"/>
        <v>Jacinto Rúiz</v>
      </c>
      <c r="H5" s="2" t="str">
        <f t="shared" si="6"/>
        <v>Vázquez</v>
      </c>
    </row>
    <row r="6" spans="1:8" x14ac:dyDescent="0.25">
      <c r="A6" s="1" t="s">
        <v>3</v>
      </c>
      <c r="B6" s="2">
        <f t="shared" si="0"/>
        <v>5</v>
      </c>
      <c r="C6" s="2">
        <f t="shared" si="1"/>
        <v>14</v>
      </c>
      <c r="D6" s="2">
        <f t="shared" si="2"/>
        <v>14</v>
      </c>
      <c r="E6" s="2" t="str">
        <f t="shared" si="3"/>
        <v>Pepe</v>
      </c>
      <c r="F6" s="2" t="str">
        <f t="shared" si="4"/>
        <v xml:space="preserve">Robinson </v>
      </c>
      <c r="G6" s="2" t="str">
        <f t="shared" si="5"/>
        <v>Pepe Robinson</v>
      </c>
      <c r="H6" s="2" t="str">
        <f t="shared" si="6"/>
        <v/>
      </c>
    </row>
    <row r="7" spans="1:8" x14ac:dyDescent="0.25">
      <c r="A7" s="1" t="s">
        <v>4</v>
      </c>
      <c r="B7" s="2">
        <f t="shared" si="0"/>
        <v>6</v>
      </c>
      <c r="C7" s="2">
        <f t="shared" si="1"/>
        <v>19</v>
      </c>
      <c r="D7" s="2">
        <f t="shared" si="2"/>
        <v>14</v>
      </c>
      <c r="E7" s="2" t="str">
        <f t="shared" si="3"/>
        <v>Amaya</v>
      </c>
      <c r="F7" s="2" t="str">
        <f t="shared" si="4"/>
        <v>Segovia Pérez</v>
      </c>
      <c r="G7" s="2" t="str">
        <f t="shared" si="5"/>
        <v>Amaya Segovia</v>
      </c>
      <c r="H7" s="2" t="str">
        <f t="shared" si="6"/>
        <v>Pérez</v>
      </c>
    </row>
    <row r="8" spans="1:8" x14ac:dyDescent="0.25">
      <c r="A8" s="1" t="s">
        <v>5</v>
      </c>
      <c r="B8" s="2">
        <f t="shared" si="0"/>
        <v>8</v>
      </c>
      <c r="C8" s="2">
        <f t="shared" si="1"/>
        <v>22</v>
      </c>
      <c r="D8" s="2">
        <f t="shared" si="2"/>
        <v>17</v>
      </c>
      <c r="E8" s="2" t="str">
        <f t="shared" si="3"/>
        <v>Antonio</v>
      </c>
      <c r="F8" s="2" t="str">
        <f t="shared" si="4"/>
        <v>Jorquera Nuñez</v>
      </c>
      <c r="G8" s="2" t="str">
        <f t="shared" si="5"/>
        <v>Antonio Jorquera</v>
      </c>
      <c r="H8" s="2" t="str">
        <f t="shared" si="6"/>
        <v>Nuñez</v>
      </c>
    </row>
    <row r="9" spans="1:8" x14ac:dyDescent="0.25">
      <c r="A9" s="1" t="s">
        <v>6</v>
      </c>
      <c r="B9" s="2">
        <f t="shared" si="0"/>
        <v>8</v>
      </c>
      <c r="C9" s="2">
        <f t="shared" si="1"/>
        <v>18</v>
      </c>
      <c r="D9" s="2">
        <f t="shared" si="2"/>
        <v>14</v>
      </c>
      <c r="E9" s="2" t="str">
        <f t="shared" si="3"/>
        <v>Alfredo</v>
      </c>
      <c r="F9" s="2" t="str">
        <f t="shared" si="4"/>
        <v>López Ruiz</v>
      </c>
      <c r="G9" s="2" t="str">
        <f t="shared" si="5"/>
        <v>Alfredo López</v>
      </c>
      <c r="H9" s="2" t="str">
        <f t="shared" si="6"/>
        <v>Ruiz</v>
      </c>
    </row>
    <row r="10" spans="1:8" x14ac:dyDescent="0.25">
      <c r="A10" s="1" t="s">
        <v>7</v>
      </c>
      <c r="B10" s="2">
        <f t="shared" si="0"/>
        <v>6</v>
      </c>
      <c r="C10" s="2">
        <f t="shared" si="1"/>
        <v>19</v>
      </c>
      <c r="D10" s="2">
        <f t="shared" si="2"/>
        <v>14</v>
      </c>
      <c r="E10" s="2" t="str">
        <f t="shared" si="3"/>
        <v>Paula</v>
      </c>
      <c r="F10" s="2" t="str">
        <f t="shared" si="4"/>
        <v>Sánchez Cerro</v>
      </c>
      <c r="G10" s="2" t="str">
        <f t="shared" si="5"/>
        <v>Paula Sánchez</v>
      </c>
      <c r="H10" s="2" t="str">
        <f t="shared" si="6"/>
        <v>Cerro</v>
      </c>
    </row>
    <row r="13" spans="1:8" ht="15.75" thickBot="1" x14ac:dyDescent="0.3"/>
    <row r="14" spans="1:8" ht="15.75" thickBot="1" x14ac:dyDescent="0.3">
      <c r="A14" s="24" t="s">
        <v>74</v>
      </c>
      <c r="B14" s="25"/>
      <c r="C14" s="26"/>
    </row>
    <row r="15" spans="1:8" x14ac:dyDescent="0.25">
      <c r="A15" s="17" t="s">
        <v>8</v>
      </c>
      <c r="B15" s="4" t="s">
        <v>68</v>
      </c>
      <c r="C15" s="4" t="s">
        <v>69</v>
      </c>
      <c r="D15" s="4" t="s">
        <v>70</v>
      </c>
      <c r="E15" s="4" t="s">
        <v>71</v>
      </c>
    </row>
    <row r="16" spans="1:8" x14ac:dyDescent="0.25">
      <c r="A16" s="1" t="s">
        <v>0</v>
      </c>
      <c r="B16" t="s">
        <v>81</v>
      </c>
      <c r="C16" t="s">
        <v>89</v>
      </c>
      <c r="D16" t="s">
        <v>96</v>
      </c>
      <c r="E16" t="s">
        <v>104</v>
      </c>
    </row>
    <row r="17" spans="1:5" x14ac:dyDescent="0.25">
      <c r="A17" s="1" t="s">
        <v>1</v>
      </c>
      <c r="B17" t="s">
        <v>82</v>
      </c>
      <c r="C17" t="s">
        <v>90</v>
      </c>
      <c r="D17" t="s">
        <v>97</v>
      </c>
      <c r="E17" t="s">
        <v>105</v>
      </c>
    </row>
    <row r="18" spans="1:5" x14ac:dyDescent="0.25">
      <c r="A18" s="1" t="s">
        <v>2</v>
      </c>
      <c r="B18" t="s">
        <v>83</v>
      </c>
      <c r="C18" t="s">
        <v>91</v>
      </c>
      <c r="D18" t="s">
        <v>98</v>
      </c>
      <c r="E18" t="s">
        <v>106</v>
      </c>
    </row>
    <row r="19" spans="1:5" x14ac:dyDescent="0.25">
      <c r="A19" s="1" t="s">
        <v>3</v>
      </c>
      <c r="B19" t="s">
        <v>84</v>
      </c>
      <c r="C19" t="s">
        <v>84</v>
      </c>
      <c r="D19" t="s">
        <v>99</v>
      </c>
    </row>
    <row r="20" spans="1:5" x14ac:dyDescent="0.25">
      <c r="A20" s="1" t="s">
        <v>4</v>
      </c>
      <c r="B20" t="s">
        <v>85</v>
      </c>
      <c r="C20" t="s">
        <v>92</v>
      </c>
      <c r="D20" t="s">
        <v>100</v>
      </c>
      <c r="E20" t="s">
        <v>107</v>
      </c>
    </row>
    <row r="21" spans="1:5" x14ac:dyDescent="0.25">
      <c r="A21" s="1" t="s">
        <v>5</v>
      </c>
      <c r="B21" t="s">
        <v>86</v>
      </c>
      <c r="C21" t="s">
        <v>93</v>
      </c>
      <c r="D21" t="s">
        <v>101</v>
      </c>
      <c r="E21" t="s">
        <v>108</v>
      </c>
    </row>
    <row r="22" spans="1:5" x14ac:dyDescent="0.25">
      <c r="A22" s="1" t="s">
        <v>6</v>
      </c>
      <c r="B22" t="s">
        <v>87</v>
      </c>
      <c r="C22" t="s">
        <v>94</v>
      </c>
      <c r="D22" t="s">
        <v>102</v>
      </c>
      <c r="E22" t="s">
        <v>109</v>
      </c>
    </row>
    <row r="23" spans="1:5" x14ac:dyDescent="0.25">
      <c r="A23" s="1" t="s">
        <v>7</v>
      </c>
      <c r="B23" t="s">
        <v>88</v>
      </c>
      <c r="C23" t="s">
        <v>95</v>
      </c>
      <c r="D23" t="s">
        <v>103</v>
      </c>
      <c r="E23" t="s">
        <v>110</v>
      </c>
    </row>
  </sheetData>
  <mergeCells count="2">
    <mergeCell ref="A14:C14"/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571B-3A01-41B4-803B-205CEAB0F9F2}">
  <dimension ref="A1:K44"/>
  <sheetViews>
    <sheetView tabSelected="1" topLeftCell="C1" workbookViewId="0">
      <selection activeCell="K3" sqref="K3:K21"/>
    </sheetView>
  </sheetViews>
  <sheetFormatPr defaultColWidth="9.140625" defaultRowHeight="15" x14ac:dyDescent="0.25"/>
  <cols>
    <col min="1" max="1" width="14.42578125" customWidth="1"/>
    <col min="2" max="2" width="12.85546875" customWidth="1"/>
    <col min="3" max="3" width="12.28515625" customWidth="1"/>
    <col min="4" max="4" width="11.5703125" customWidth="1"/>
    <col min="5" max="5" width="14.42578125" customWidth="1"/>
    <col min="6" max="6" width="8.7109375" bestFit="1" customWidth="1"/>
    <col min="7" max="7" width="14.42578125" customWidth="1"/>
    <col min="8" max="8" width="9.7109375" bestFit="1" customWidth="1"/>
    <col min="9" max="9" width="12.42578125" bestFit="1" customWidth="1"/>
    <col min="10" max="10" width="17.28515625" customWidth="1"/>
    <col min="11" max="11" width="94.42578125" customWidth="1"/>
  </cols>
  <sheetData>
    <row r="1" spans="1:11" x14ac:dyDescent="0.25">
      <c r="A1" s="29" t="s">
        <v>75</v>
      </c>
      <c r="B1" s="29"/>
      <c r="C1" s="29"/>
      <c r="D1" s="29"/>
      <c r="E1" s="29"/>
      <c r="F1" s="29"/>
      <c r="G1" s="29"/>
      <c r="H1" s="29"/>
      <c r="I1" s="29"/>
      <c r="J1" s="29"/>
    </row>
    <row r="2" spans="1:11" x14ac:dyDescent="0.25">
      <c r="A2" s="15" t="s">
        <v>9</v>
      </c>
      <c r="B2" s="16" t="s">
        <v>10</v>
      </c>
      <c r="C2" s="16" t="s">
        <v>11</v>
      </c>
      <c r="D2" s="16" t="s">
        <v>12</v>
      </c>
      <c r="E2" s="16" t="s">
        <v>13</v>
      </c>
      <c r="F2" s="16" t="s">
        <v>14</v>
      </c>
      <c r="G2" s="14" t="s">
        <v>15</v>
      </c>
      <c r="H2" s="14" t="s">
        <v>16</v>
      </c>
      <c r="I2" s="14" t="s">
        <v>17</v>
      </c>
      <c r="J2" s="14" t="s">
        <v>18</v>
      </c>
      <c r="K2" s="14" t="s">
        <v>28</v>
      </c>
    </row>
    <row r="3" spans="1:11" x14ac:dyDescent="0.25">
      <c r="A3" s="5" t="s">
        <v>19</v>
      </c>
      <c r="B3" s="6">
        <v>2</v>
      </c>
      <c r="C3" s="7">
        <v>100</v>
      </c>
      <c r="D3" s="7">
        <v>150</v>
      </c>
      <c r="E3" s="6" t="s">
        <v>20</v>
      </c>
      <c r="F3" s="6">
        <v>20</v>
      </c>
      <c r="G3" s="8" t="s">
        <v>21</v>
      </c>
      <c r="H3" s="9">
        <f t="shared" ref="H3:H21" si="0">$C3*$F3</f>
        <v>2000</v>
      </c>
      <c r="I3" s="9">
        <f t="shared" ref="I3:I21" si="1">$D3*$F3</f>
        <v>3000</v>
      </c>
      <c r="J3" s="9">
        <f t="shared" ref="J3:J21" si="2">$I3-$H3</f>
        <v>1000</v>
      </c>
      <c r="K3" t="str">
        <f>_xlfn.CONCAT("We have sold ", F3, " ", B3, "-kg boxes of ", A3, " to ", E3, " making a total profit of ", J3, " euros.")</f>
        <v>We have sold 20 2-kg boxes of Banana to Alcampo making a total profit of 1000 euros.</v>
      </c>
    </row>
    <row r="4" spans="1:11" x14ac:dyDescent="0.25">
      <c r="A4" s="10" t="s">
        <v>19</v>
      </c>
      <c r="B4" s="11">
        <v>2</v>
      </c>
      <c r="C4" s="12">
        <v>100</v>
      </c>
      <c r="D4" s="12">
        <v>150</v>
      </c>
      <c r="E4" s="11" t="s">
        <v>22</v>
      </c>
      <c r="F4" s="11">
        <v>30</v>
      </c>
      <c r="G4" s="13" t="s">
        <v>21</v>
      </c>
      <c r="H4" s="9">
        <f t="shared" si="0"/>
        <v>3000</v>
      </c>
      <c r="I4" s="9">
        <f t="shared" si="1"/>
        <v>4500</v>
      </c>
      <c r="J4" s="9">
        <f t="shared" si="2"/>
        <v>1500</v>
      </c>
      <c r="K4" t="str">
        <f t="shared" ref="K4:K21" si="3">_xlfn.CONCAT("We have sold ", F4, " ", B4, "-kg boxes of ", A4, " to ", E4, " making a total profit of ", J4, " euros.")</f>
        <v>We have sold 30 2-kg boxes of Banana to Mercadona making a total profit of 1500 euros.</v>
      </c>
    </row>
    <row r="5" spans="1:11" x14ac:dyDescent="0.25">
      <c r="A5" s="5" t="s">
        <v>19</v>
      </c>
      <c r="B5" s="6">
        <v>2</v>
      </c>
      <c r="C5" s="7">
        <v>100</v>
      </c>
      <c r="D5" s="7">
        <v>150</v>
      </c>
      <c r="E5" s="6" t="s">
        <v>23</v>
      </c>
      <c r="F5" s="6">
        <v>15</v>
      </c>
      <c r="G5" s="8" t="s">
        <v>21</v>
      </c>
      <c r="H5" s="9">
        <f t="shared" si="0"/>
        <v>1500</v>
      </c>
      <c r="I5" s="9">
        <f t="shared" si="1"/>
        <v>2250</v>
      </c>
      <c r="J5" s="9">
        <f t="shared" si="2"/>
        <v>750</v>
      </c>
      <c r="K5" t="str">
        <f t="shared" si="3"/>
        <v>We have sold 15 2-kg boxes of Banana to Dia making a total profit of 750 euros.</v>
      </c>
    </row>
    <row r="6" spans="1:11" x14ac:dyDescent="0.25">
      <c r="A6" s="10" t="s">
        <v>19</v>
      </c>
      <c r="B6" s="11">
        <v>4</v>
      </c>
      <c r="C6" s="12">
        <v>200</v>
      </c>
      <c r="D6" s="12">
        <v>300</v>
      </c>
      <c r="E6" s="11" t="s">
        <v>20</v>
      </c>
      <c r="F6" s="11">
        <v>10</v>
      </c>
      <c r="G6" s="13" t="s">
        <v>21</v>
      </c>
      <c r="H6" s="9">
        <f t="shared" si="0"/>
        <v>2000</v>
      </c>
      <c r="I6" s="9">
        <f t="shared" si="1"/>
        <v>3000</v>
      </c>
      <c r="J6" s="9">
        <f t="shared" si="2"/>
        <v>1000</v>
      </c>
      <c r="K6" t="str">
        <f t="shared" si="3"/>
        <v>We have sold 10 4-kg boxes of Banana to Alcampo making a total profit of 1000 euros.</v>
      </c>
    </row>
    <row r="7" spans="1:11" x14ac:dyDescent="0.25">
      <c r="A7" s="5" t="s">
        <v>19</v>
      </c>
      <c r="B7" s="6">
        <v>4</v>
      </c>
      <c r="C7" s="7">
        <v>200</v>
      </c>
      <c r="D7" s="7">
        <v>300</v>
      </c>
      <c r="E7" s="6" t="s">
        <v>22</v>
      </c>
      <c r="F7" s="6">
        <v>20</v>
      </c>
      <c r="G7" s="8" t="s">
        <v>21</v>
      </c>
      <c r="H7" s="9">
        <f t="shared" si="0"/>
        <v>4000</v>
      </c>
      <c r="I7" s="9">
        <f t="shared" si="1"/>
        <v>6000</v>
      </c>
      <c r="J7" s="9">
        <f t="shared" si="2"/>
        <v>2000</v>
      </c>
      <c r="K7" t="str">
        <f t="shared" si="3"/>
        <v>We have sold 20 4-kg boxes of Banana to Mercadona making a total profit of 2000 euros.</v>
      </c>
    </row>
    <row r="8" spans="1:11" x14ac:dyDescent="0.25">
      <c r="A8" s="10" t="s">
        <v>19</v>
      </c>
      <c r="B8" s="11">
        <v>4</v>
      </c>
      <c r="C8" s="12">
        <v>200</v>
      </c>
      <c r="D8" s="12">
        <v>300</v>
      </c>
      <c r="E8" s="11" t="s">
        <v>23</v>
      </c>
      <c r="F8" s="11">
        <v>30</v>
      </c>
      <c r="G8" s="13" t="s">
        <v>21</v>
      </c>
      <c r="H8" s="9">
        <f t="shared" si="0"/>
        <v>6000</v>
      </c>
      <c r="I8" s="9">
        <f t="shared" si="1"/>
        <v>9000</v>
      </c>
      <c r="J8" s="9">
        <f t="shared" si="2"/>
        <v>3000</v>
      </c>
      <c r="K8" t="str">
        <f t="shared" si="3"/>
        <v>We have sold 30 4-kg boxes of Banana to Dia making a total profit of 3000 euros.</v>
      </c>
    </row>
    <row r="9" spans="1:11" x14ac:dyDescent="0.25">
      <c r="A9" s="5" t="s">
        <v>19</v>
      </c>
      <c r="B9" s="6">
        <v>4</v>
      </c>
      <c r="C9" s="7">
        <v>200</v>
      </c>
      <c r="D9" s="7">
        <v>300</v>
      </c>
      <c r="E9" s="6" t="s">
        <v>24</v>
      </c>
      <c r="F9" s="6">
        <v>40</v>
      </c>
      <c r="G9" s="8" t="s">
        <v>21</v>
      </c>
      <c r="H9" s="9">
        <f t="shared" si="0"/>
        <v>8000</v>
      </c>
      <c r="I9" s="9">
        <f t="shared" si="1"/>
        <v>12000</v>
      </c>
      <c r="J9" s="9">
        <f t="shared" si="2"/>
        <v>4000</v>
      </c>
      <c r="K9" t="str">
        <f t="shared" si="3"/>
        <v>We have sold 40 4-kg boxes of Banana to Lidl making a total profit of 4000 euros.</v>
      </c>
    </row>
    <row r="10" spans="1:11" x14ac:dyDescent="0.25">
      <c r="A10" s="10" t="s">
        <v>25</v>
      </c>
      <c r="B10" s="11">
        <v>2</v>
      </c>
      <c r="C10" s="12">
        <v>150</v>
      </c>
      <c r="D10" s="12">
        <v>120</v>
      </c>
      <c r="E10" s="11" t="s">
        <v>20</v>
      </c>
      <c r="F10" s="11">
        <v>5</v>
      </c>
      <c r="G10" s="13" t="s">
        <v>21</v>
      </c>
      <c r="H10" s="9">
        <f t="shared" si="0"/>
        <v>750</v>
      </c>
      <c r="I10" s="9">
        <f t="shared" si="1"/>
        <v>600</v>
      </c>
      <c r="J10" s="9">
        <f t="shared" si="2"/>
        <v>-150</v>
      </c>
      <c r="K10" t="str">
        <f t="shared" si="3"/>
        <v>We have sold 5 2-kg boxes of Pineapple to Alcampo making a total profit of -150 euros.</v>
      </c>
    </row>
    <row r="11" spans="1:11" x14ac:dyDescent="0.25">
      <c r="A11" s="5" t="s">
        <v>25</v>
      </c>
      <c r="B11" s="6">
        <v>2</v>
      </c>
      <c r="C11" s="7">
        <v>150</v>
      </c>
      <c r="D11" s="7">
        <v>120</v>
      </c>
      <c r="E11" s="6" t="s">
        <v>22</v>
      </c>
      <c r="F11" s="6">
        <v>25</v>
      </c>
      <c r="G11" s="8" t="s">
        <v>21</v>
      </c>
      <c r="H11" s="9">
        <f t="shared" si="0"/>
        <v>3750</v>
      </c>
      <c r="I11" s="9">
        <f t="shared" si="1"/>
        <v>3000</v>
      </c>
      <c r="J11" s="9">
        <f t="shared" si="2"/>
        <v>-750</v>
      </c>
      <c r="K11" t="str">
        <f t="shared" si="3"/>
        <v>We have sold 25 2-kg boxes of Pineapple to Mercadona making a total profit of -750 euros.</v>
      </c>
    </row>
    <row r="12" spans="1:11" x14ac:dyDescent="0.25">
      <c r="A12" s="10" t="s">
        <v>25</v>
      </c>
      <c r="B12" s="11">
        <v>2</v>
      </c>
      <c r="C12" s="12">
        <v>150</v>
      </c>
      <c r="D12" s="12">
        <v>120</v>
      </c>
      <c r="E12" s="11" t="s">
        <v>23</v>
      </c>
      <c r="F12" s="11">
        <v>15</v>
      </c>
      <c r="G12" s="13" t="s">
        <v>21</v>
      </c>
      <c r="H12" s="9">
        <f t="shared" si="0"/>
        <v>2250</v>
      </c>
      <c r="I12" s="9">
        <f t="shared" si="1"/>
        <v>1800</v>
      </c>
      <c r="J12" s="9">
        <f t="shared" si="2"/>
        <v>-450</v>
      </c>
      <c r="K12" t="str">
        <f t="shared" si="3"/>
        <v>We have sold 15 2-kg boxes of Pineapple to Dia making a total profit of -450 euros.</v>
      </c>
    </row>
    <row r="13" spans="1:11" x14ac:dyDescent="0.25">
      <c r="A13" s="5" t="s">
        <v>25</v>
      </c>
      <c r="B13" s="6">
        <v>4</v>
      </c>
      <c r="C13" s="7">
        <v>300</v>
      </c>
      <c r="D13" s="7">
        <v>240</v>
      </c>
      <c r="E13" s="6" t="s">
        <v>20</v>
      </c>
      <c r="F13" s="6">
        <v>20</v>
      </c>
      <c r="G13" s="8" t="s">
        <v>21</v>
      </c>
      <c r="H13" s="9">
        <f t="shared" si="0"/>
        <v>6000</v>
      </c>
      <c r="I13" s="9">
        <f t="shared" si="1"/>
        <v>4800</v>
      </c>
      <c r="J13" s="9">
        <f t="shared" si="2"/>
        <v>-1200</v>
      </c>
      <c r="K13" t="str">
        <f t="shared" si="3"/>
        <v>We have sold 20 4-kg boxes of Pineapple to Alcampo making a total profit of -1200 euros.</v>
      </c>
    </row>
    <row r="14" spans="1:11" x14ac:dyDescent="0.25">
      <c r="A14" s="10" t="s">
        <v>25</v>
      </c>
      <c r="B14" s="11">
        <v>4</v>
      </c>
      <c r="C14" s="12">
        <v>300</v>
      </c>
      <c r="D14" s="12">
        <v>240</v>
      </c>
      <c r="E14" s="11" t="s">
        <v>22</v>
      </c>
      <c r="F14" s="11">
        <v>10</v>
      </c>
      <c r="G14" s="13" t="s">
        <v>21</v>
      </c>
      <c r="H14" s="9">
        <f t="shared" si="0"/>
        <v>3000</v>
      </c>
      <c r="I14" s="9">
        <f t="shared" si="1"/>
        <v>2400</v>
      </c>
      <c r="J14" s="9">
        <f t="shared" si="2"/>
        <v>-600</v>
      </c>
      <c r="K14" t="str">
        <f t="shared" si="3"/>
        <v>We have sold 10 4-kg boxes of Pineapple to Mercadona making a total profit of -600 euros.</v>
      </c>
    </row>
    <row r="15" spans="1:11" x14ac:dyDescent="0.25">
      <c r="A15" s="5" t="s">
        <v>25</v>
      </c>
      <c r="B15" s="6">
        <v>4</v>
      </c>
      <c r="C15" s="7">
        <v>300</v>
      </c>
      <c r="D15" s="7">
        <v>240</v>
      </c>
      <c r="E15" s="6" t="s">
        <v>23</v>
      </c>
      <c r="F15" s="6">
        <v>5</v>
      </c>
      <c r="G15" s="8" t="s">
        <v>21</v>
      </c>
      <c r="H15" s="9">
        <f t="shared" si="0"/>
        <v>1500</v>
      </c>
      <c r="I15" s="9">
        <f t="shared" si="1"/>
        <v>1200</v>
      </c>
      <c r="J15" s="9">
        <f t="shared" si="2"/>
        <v>-300</v>
      </c>
      <c r="K15" t="str">
        <f t="shared" si="3"/>
        <v>We have sold 5 4-kg boxes of Pineapple to Dia making a total profit of -300 euros.</v>
      </c>
    </row>
    <row r="16" spans="1:11" x14ac:dyDescent="0.25">
      <c r="A16" s="10" t="s">
        <v>25</v>
      </c>
      <c r="B16" s="11">
        <v>4</v>
      </c>
      <c r="C16" s="12">
        <v>300</v>
      </c>
      <c r="D16" s="12">
        <v>240</v>
      </c>
      <c r="E16" s="11" t="s">
        <v>24</v>
      </c>
      <c r="F16" s="11">
        <v>25</v>
      </c>
      <c r="G16" s="13" t="s">
        <v>21</v>
      </c>
      <c r="H16" s="9">
        <f t="shared" si="0"/>
        <v>7500</v>
      </c>
      <c r="I16" s="9">
        <f t="shared" si="1"/>
        <v>6000</v>
      </c>
      <c r="J16" s="9">
        <f t="shared" si="2"/>
        <v>-1500</v>
      </c>
      <c r="K16" t="str">
        <f t="shared" si="3"/>
        <v>We have sold 25 4-kg boxes of Pineapple to Lidl making a total profit of -1500 euros.</v>
      </c>
    </row>
    <row r="17" spans="1:11" x14ac:dyDescent="0.25">
      <c r="A17" s="5" t="s">
        <v>26</v>
      </c>
      <c r="B17" s="6">
        <v>2</v>
      </c>
      <c r="C17" s="7">
        <v>80</v>
      </c>
      <c r="D17" s="7">
        <v>160</v>
      </c>
      <c r="E17" s="6" t="s">
        <v>20</v>
      </c>
      <c r="F17" s="6">
        <v>35</v>
      </c>
      <c r="G17" s="8" t="s">
        <v>27</v>
      </c>
      <c r="H17" s="9">
        <f t="shared" si="0"/>
        <v>2800</v>
      </c>
      <c r="I17" s="9">
        <f t="shared" si="1"/>
        <v>5600</v>
      </c>
      <c r="J17" s="9">
        <f t="shared" si="2"/>
        <v>2800</v>
      </c>
      <c r="K17" t="str">
        <f t="shared" si="3"/>
        <v>We have sold 35 2-kg boxes of Mango to Alcampo making a total profit of 2800 euros.</v>
      </c>
    </row>
    <row r="18" spans="1:11" x14ac:dyDescent="0.25">
      <c r="A18" s="10" t="s">
        <v>26</v>
      </c>
      <c r="B18" s="11">
        <v>2</v>
      </c>
      <c r="C18" s="12">
        <v>80</v>
      </c>
      <c r="D18" s="12">
        <v>160</v>
      </c>
      <c r="E18" s="11" t="s">
        <v>22</v>
      </c>
      <c r="F18" s="11">
        <v>40</v>
      </c>
      <c r="G18" s="13" t="s">
        <v>27</v>
      </c>
      <c r="H18" s="9">
        <f t="shared" si="0"/>
        <v>3200</v>
      </c>
      <c r="I18" s="9">
        <f t="shared" si="1"/>
        <v>6400</v>
      </c>
      <c r="J18" s="9">
        <f t="shared" si="2"/>
        <v>3200</v>
      </c>
      <c r="K18" t="str">
        <f t="shared" si="3"/>
        <v>We have sold 40 2-kg boxes of Mango to Mercadona making a total profit of 3200 euros.</v>
      </c>
    </row>
    <row r="19" spans="1:11" x14ac:dyDescent="0.25">
      <c r="A19" s="5" t="s">
        <v>26</v>
      </c>
      <c r="B19" s="6">
        <v>2</v>
      </c>
      <c r="C19" s="7">
        <v>80</v>
      </c>
      <c r="D19" s="7">
        <v>160</v>
      </c>
      <c r="E19" s="6" t="s">
        <v>23</v>
      </c>
      <c r="F19" s="6">
        <v>20</v>
      </c>
      <c r="G19" s="8" t="s">
        <v>27</v>
      </c>
      <c r="H19" s="9">
        <f t="shared" si="0"/>
        <v>1600</v>
      </c>
      <c r="I19" s="9">
        <f t="shared" si="1"/>
        <v>3200</v>
      </c>
      <c r="J19" s="9">
        <f t="shared" si="2"/>
        <v>1600</v>
      </c>
      <c r="K19" t="str">
        <f t="shared" si="3"/>
        <v>We have sold 20 2-kg boxes of Mango to Dia making a total profit of 1600 euros.</v>
      </c>
    </row>
    <row r="20" spans="1:11" x14ac:dyDescent="0.25">
      <c r="A20" s="10" t="s">
        <v>26</v>
      </c>
      <c r="B20" s="11">
        <v>4</v>
      </c>
      <c r="C20" s="12">
        <v>160</v>
      </c>
      <c r="D20" s="12">
        <v>320</v>
      </c>
      <c r="E20" s="11" t="s">
        <v>20</v>
      </c>
      <c r="F20" s="11">
        <v>30</v>
      </c>
      <c r="G20" s="13" t="s">
        <v>27</v>
      </c>
      <c r="H20" s="9">
        <f t="shared" si="0"/>
        <v>4800</v>
      </c>
      <c r="I20" s="9">
        <f t="shared" si="1"/>
        <v>9600</v>
      </c>
      <c r="J20" s="9">
        <f t="shared" si="2"/>
        <v>4800</v>
      </c>
      <c r="K20" t="str">
        <f t="shared" si="3"/>
        <v>We have sold 30 4-kg boxes of Mango to Alcampo making a total profit of 4800 euros.</v>
      </c>
    </row>
    <row r="21" spans="1:11" x14ac:dyDescent="0.25">
      <c r="A21" s="5" t="s">
        <v>26</v>
      </c>
      <c r="B21" s="6">
        <v>4</v>
      </c>
      <c r="C21" s="7">
        <v>160</v>
      </c>
      <c r="D21" s="7">
        <v>320</v>
      </c>
      <c r="E21" s="6" t="s">
        <v>22</v>
      </c>
      <c r="F21" s="6">
        <v>40</v>
      </c>
      <c r="G21" s="8" t="s">
        <v>27</v>
      </c>
      <c r="H21" s="9">
        <f t="shared" si="0"/>
        <v>6400</v>
      </c>
      <c r="I21" s="9">
        <f t="shared" si="1"/>
        <v>12800</v>
      </c>
      <c r="J21" s="9">
        <f t="shared" si="2"/>
        <v>6400</v>
      </c>
      <c r="K21" t="str">
        <f t="shared" si="3"/>
        <v>We have sold 40 4-kg boxes of Mango to Mercadona making a total profit of 6400 euros.</v>
      </c>
    </row>
    <row r="24" spans="1:11" x14ac:dyDescent="0.25">
      <c r="A24" s="29" t="s">
        <v>76</v>
      </c>
      <c r="B24" s="29"/>
      <c r="C24" s="29"/>
      <c r="D24" s="29"/>
      <c r="E24" s="29"/>
      <c r="F24" s="29"/>
      <c r="G24" s="29"/>
      <c r="H24" s="29"/>
      <c r="I24" s="29"/>
      <c r="J24" s="29"/>
    </row>
    <row r="25" spans="1:11" x14ac:dyDescent="0.25">
      <c r="A25" s="15" t="s">
        <v>9</v>
      </c>
      <c r="B25" s="16" t="s">
        <v>10</v>
      </c>
      <c r="C25" s="16" t="s">
        <v>11</v>
      </c>
      <c r="D25" s="16" t="s">
        <v>12</v>
      </c>
      <c r="E25" s="16" t="s">
        <v>13</v>
      </c>
      <c r="F25" s="16" t="s">
        <v>14</v>
      </c>
      <c r="G25" s="14" t="s">
        <v>15</v>
      </c>
      <c r="H25" s="14" t="s">
        <v>16</v>
      </c>
      <c r="I25" s="14" t="s">
        <v>17</v>
      </c>
      <c r="J25" s="14" t="s">
        <v>18</v>
      </c>
      <c r="K25" s="14" t="s">
        <v>28</v>
      </c>
    </row>
    <row r="26" spans="1:11" x14ac:dyDescent="0.25">
      <c r="A26" s="5" t="s">
        <v>19</v>
      </c>
      <c r="B26" s="6">
        <v>2</v>
      </c>
      <c r="C26" s="7">
        <v>100</v>
      </c>
      <c r="D26" s="7">
        <v>150</v>
      </c>
      <c r="E26" s="6" t="s">
        <v>20</v>
      </c>
      <c r="F26" s="6">
        <v>20</v>
      </c>
      <c r="G26" s="8" t="s">
        <v>21</v>
      </c>
      <c r="H26" s="9">
        <f t="shared" ref="H26:H44" si="4">$C26*$F26</f>
        <v>2000</v>
      </c>
      <c r="I26" s="9">
        <f t="shared" ref="I26:I44" si="5">$D26*$F26</f>
        <v>3000</v>
      </c>
      <c r="J26" s="9">
        <f t="shared" ref="J26:J44" si="6">$I26-$H26</f>
        <v>1000</v>
      </c>
    </row>
    <row r="27" spans="1:11" x14ac:dyDescent="0.25">
      <c r="A27" s="10" t="s">
        <v>19</v>
      </c>
      <c r="B27" s="11">
        <v>2</v>
      </c>
      <c r="C27" s="12">
        <v>100</v>
      </c>
      <c r="D27" s="12">
        <v>150</v>
      </c>
      <c r="E27" s="11" t="s">
        <v>22</v>
      </c>
      <c r="F27" s="11">
        <v>30</v>
      </c>
      <c r="G27" s="13" t="s">
        <v>21</v>
      </c>
      <c r="H27" s="9">
        <f t="shared" si="4"/>
        <v>3000</v>
      </c>
      <c r="I27" s="9">
        <f t="shared" si="5"/>
        <v>4500</v>
      </c>
      <c r="J27" s="9">
        <f t="shared" si="6"/>
        <v>1500</v>
      </c>
    </row>
    <row r="28" spans="1:11" x14ac:dyDescent="0.25">
      <c r="A28" s="5" t="s">
        <v>19</v>
      </c>
      <c r="B28" s="6">
        <v>2</v>
      </c>
      <c r="C28" s="7">
        <v>100</v>
      </c>
      <c r="D28" s="7">
        <v>150</v>
      </c>
      <c r="E28" s="6" t="s">
        <v>23</v>
      </c>
      <c r="F28" s="6">
        <v>15</v>
      </c>
      <c r="G28" s="8" t="s">
        <v>21</v>
      </c>
      <c r="H28" s="9">
        <f t="shared" si="4"/>
        <v>1500</v>
      </c>
      <c r="I28" s="9">
        <f t="shared" si="5"/>
        <v>2250</v>
      </c>
      <c r="J28" s="9">
        <f t="shared" si="6"/>
        <v>750</v>
      </c>
    </row>
    <row r="29" spans="1:11" x14ac:dyDescent="0.25">
      <c r="A29" s="10" t="s">
        <v>19</v>
      </c>
      <c r="B29" s="11">
        <v>4</v>
      </c>
      <c r="C29" s="12">
        <v>200</v>
      </c>
      <c r="D29" s="12">
        <v>300</v>
      </c>
      <c r="E29" s="11" t="s">
        <v>20</v>
      </c>
      <c r="F29" s="11">
        <v>10</v>
      </c>
      <c r="G29" s="13" t="s">
        <v>21</v>
      </c>
      <c r="H29" s="9">
        <f t="shared" si="4"/>
        <v>2000</v>
      </c>
      <c r="I29" s="9">
        <f t="shared" si="5"/>
        <v>3000</v>
      </c>
      <c r="J29" s="9">
        <f t="shared" si="6"/>
        <v>1000</v>
      </c>
    </row>
    <row r="30" spans="1:11" x14ac:dyDescent="0.25">
      <c r="A30" s="5" t="s">
        <v>19</v>
      </c>
      <c r="B30" s="6">
        <v>4</v>
      </c>
      <c r="C30" s="7">
        <v>200</v>
      </c>
      <c r="D30" s="7">
        <v>300</v>
      </c>
      <c r="E30" s="6" t="s">
        <v>22</v>
      </c>
      <c r="F30" s="6">
        <v>20</v>
      </c>
      <c r="G30" s="8" t="s">
        <v>21</v>
      </c>
      <c r="H30" s="9">
        <f t="shared" si="4"/>
        <v>4000</v>
      </c>
      <c r="I30" s="9">
        <f t="shared" si="5"/>
        <v>6000</v>
      </c>
      <c r="J30" s="9">
        <f t="shared" si="6"/>
        <v>2000</v>
      </c>
    </row>
    <row r="31" spans="1:11" x14ac:dyDescent="0.25">
      <c r="A31" s="10" t="s">
        <v>19</v>
      </c>
      <c r="B31" s="11">
        <v>4</v>
      </c>
      <c r="C31" s="12">
        <v>200</v>
      </c>
      <c r="D31" s="12">
        <v>300</v>
      </c>
      <c r="E31" s="11" t="s">
        <v>23</v>
      </c>
      <c r="F31" s="11">
        <v>30</v>
      </c>
      <c r="G31" s="13" t="s">
        <v>21</v>
      </c>
      <c r="H31" s="9">
        <f t="shared" si="4"/>
        <v>6000</v>
      </c>
      <c r="I31" s="9">
        <f t="shared" si="5"/>
        <v>9000</v>
      </c>
      <c r="J31" s="9">
        <f t="shared" si="6"/>
        <v>3000</v>
      </c>
    </row>
    <row r="32" spans="1:11" x14ac:dyDescent="0.25">
      <c r="A32" s="5" t="s">
        <v>19</v>
      </c>
      <c r="B32" s="6">
        <v>4</v>
      </c>
      <c r="C32" s="7">
        <v>200</v>
      </c>
      <c r="D32" s="7">
        <v>300</v>
      </c>
      <c r="E32" s="6" t="s">
        <v>24</v>
      </c>
      <c r="F32" s="6">
        <v>40</v>
      </c>
      <c r="G32" s="8" t="s">
        <v>21</v>
      </c>
      <c r="H32" s="9">
        <f t="shared" si="4"/>
        <v>8000</v>
      </c>
      <c r="I32" s="9">
        <f t="shared" si="5"/>
        <v>12000</v>
      </c>
      <c r="J32" s="9">
        <f t="shared" si="6"/>
        <v>4000</v>
      </c>
    </row>
    <row r="33" spans="1:10" x14ac:dyDescent="0.25">
      <c r="A33" s="10" t="s">
        <v>25</v>
      </c>
      <c r="B33" s="11">
        <v>2</v>
      </c>
      <c r="C33" s="12">
        <v>150</v>
      </c>
      <c r="D33" s="12">
        <v>120</v>
      </c>
      <c r="E33" s="11" t="s">
        <v>20</v>
      </c>
      <c r="F33" s="11">
        <v>5</v>
      </c>
      <c r="G33" s="13" t="s">
        <v>21</v>
      </c>
      <c r="H33" s="9">
        <f t="shared" si="4"/>
        <v>750</v>
      </c>
      <c r="I33" s="9">
        <f t="shared" si="5"/>
        <v>600</v>
      </c>
      <c r="J33" s="9">
        <f t="shared" si="6"/>
        <v>-150</v>
      </c>
    </row>
    <row r="34" spans="1:10" x14ac:dyDescent="0.25">
      <c r="A34" s="5" t="s">
        <v>25</v>
      </c>
      <c r="B34" s="6">
        <v>2</v>
      </c>
      <c r="C34" s="7">
        <v>150</v>
      </c>
      <c r="D34" s="7">
        <v>120</v>
      </c>
      <c r="E34" s="6" t="s">
        <v>22</v>
      </c>
      <c r="F34" s="6">
        <v>25</v>
      </c>
      <c r="G34" s="8" t="s">
        <v>21</v>
      </c>
      <c r="H34" s="9">
        <f t="shared" si="4"/>
        <v>3750</v>
      </c>
      <c r="I34" s="9">
        <f t="shared" si="5"/>
        <v>3000</v>
      </c>
      <c r="J34" s="9">
        <f t="shared" si="6"/>
        <v>-750</v>
      </c>
    </row>
    <row r="35" spans="1:10" x14ac:dyDescent="0.25">
      <c r="A35" s="10" t="s">
        <v>25</v>
      </c>
      <c r="B35" s="11">
        <v>2</v>
      </c>
      <c r="C35" s="12">
        <v>150</v>
      </c>
      <c r="D35" s="12">
        <v>120</v>
      </c>
      <c r="E35" s="11" t="s">
        <v>23</v>
      </c>
      <c r="F35" s="11">
        <v>15</v>
      </c>
      <c r="G35" s="13" t="s">
        <v>21</v>
      </c>
      <c r="H35" s="9">
        <f t="shared" si="4"/>
        <v>2250</v>
      </c>
      <c r="I35" s="9">
        <f t="shared" si="5"/>
        <v>1800</v>
      </c>
      <c r="J35" s="9">
        <f t="shared" si="6"/>
        <v>-450</v>
      </c>
    </row>
    <row r="36" spans="1:10" x14ac:dyDescent="0.25">
      <c r="A36" s="5" t="s">
        <v>25</v>
      </c>
      <c r="B36" s="6">
        <v>4</v>
      </c>
      <c r="C36" s="7">
        <v>300</v>
      </c>
      <c r="D36" s="7">
        <v>240</v>
      </c>
      <c r="E36" s="6" t="s">
        <v>20</v>
      </c>
      <c r="F36" s="6">
        <v>20</v>
      </c>
      <c r="G36" s="8" t="s">
        <v>21</v>
      </c>
      <c r="H36" s="9">
        <f t="shared" si="4"/>
        <v>6000</v>
      </c>
      <c r="I36" s="9">
        <f t="shared" si="5"/>
        <v>4800</v>
      </c>
      <c r="J36" s="9">
        <f t="shared" si="6"/>
        <v>-1200</v>
      </c>
    </row>
    <row r="37" spans="1:10" x14ac:dyDescent="0.25">
      <c r="A37" s="10" t="s">
        <v>25</v>
      </c>
      <c r="B37" s="11">
        <v>4</v>
      </c>
      <c r="C37" s="12">
        <v>300</v>
      </c>
      <c r="D37" s="12">
        <v>240</v>
      </c>
      <c r="E37" s="11" t="s">
        <v>22</v>
      </c>
      <c r="F37" s="11">
        <v>10</v>
      </c>
      <c r="G37" s="13" t="s">
        <v>21</v>
      </c>
      <c r="H37" s="9">
        <f t="shared" si="4"/>
        <v>3000</v>
      </c>
      <c r="I37" s="9">
        <f t="shared" si="5"/>
        <v>2400</v>
      </c>
      <c r="J37" s="9">
        <f t="shared" si="6"/>
        <v>-600</v>
      </c>
    </row>
    <row r="38" spans="1:10" x14ac:dyDescent="0.25">
      <c r="A38" s="5" t="s">
        <v>25</v>
      </c>
      <c r="B38" s="6">
        <v>4</v>
      </c>
      <c r="C38" s="7">
        <v>300</v>
      </c>
      <c r="D38" s="7">
        <v>240</v>
      </c>
      <c r="E38" s="6" t="s">
        <v>23</v>
      </c>
      <c r="F38" s="6">
        <v>5</v>
      </c>
      <c r="G38" s="8" t="s">
        <v>21</v>
      </c>
      <c r="H38" s="9">
        <f t="shared" si="4"/>
        <v>1500</v>
      </c>
      <c r="I38" s="9">
        <f t="shared" si="5"/>
        <v>1200</v>
      </c>
      <c r="J38" s="9">
        <f t="shared" si="6"/>
        <v>-300</v>
      </c>
    </row>
    <row r="39" spans="1:10" x14ac:dyDescent="0.25">
      <c r="A39" s="10" t="s">
        <v>25</v>
      </c>
      <c r="B39" s="11">
        <v>4</v>
      </c>
      <c r="C39" s="12">
        <v>300</v>
      </c>
      <c r="D39" s="12">
        <v>240</v>
      </c>
      <c r="E39" s="11" t="s">
        <v>24</v>
      </c>
      <c r="F39" s="11">
        <v>25</v>
      </c>
      <c r="G39" s="13" t="s">
        <v>21</v>
      </c>
      <c r="H39" s="9">
        <f t="shared" si="4"/>
        <v>7500</v>
      </c>
      <c r="I39" s="9">
        <f t="shared" si="5"/>
        <v>6000</v>
      </c>
      <c r="J39" s="9">
        <f t="shared" si="6"/>
        <v>-1500</v>
      </c>
    </row>
    <row r="40" spans="1:10" x14ac:dyDescent="0.25">
      <c r="A40" s="5" t="s">
        <v>26</v>
      </c>
      <c r="B40" s="6">
        <v>2</v>
      </c>
      <c r="C40" s="7">
        <v>80</v>
      </c>
      <c r="D40" s="7">
        <v>160</v>
      </c>
      <c r="E40" s="6" t="s">
        <v>20</v>
      </c>
      <c r="F40" s="6">
        <v>35</v>
      </c>
      <c r="G40" s="8" t="s">
        <v>27</v>
      </c>
      <c r="H40" s="9">
        <f t="shared" si="4"/>
        <v>2800</v>
      </c>
      <c r="I40" s="9">
        <f t="shared" si="5"/>
        <v>5600</v>
      </c>
      <c r="J40" s="9">
        <f t="shared" si="6"/>
        <v>2800</v>
      </c>
    </row>
    <row r="41" spans="1:10" x14ac:dyDescent="0.25">
      <c r="A41" s="10" t="s">
        <v>26</v>
      </c>
      <c r="B41" s="11">
        <v>2</v>
      </c>
      <c r="C41" s="12">
        <v>80</v>
      </c>
      <c r="D41" s="12">
        <v>160</v>
      </c>
      <c r="E41" s="11" t="s">
        <v>22</v>
      </c>
      <c r="F41" s="11">
        <v>40</v>
      </c>
      <c r="G41" s="13" t="s">
        <v>27</v>
      </c>
      <c r="H41" s="9">
        <f t="shared" si="4"/>
        <v>3200</v>
      </c>
      <c r="I41" s="9">
        <f t="shared" si="5"/>
        <v>6400</v>
      </c>
      <c r="J41" s="9">
        <f t="shared" si="6"/>
        <v>3200</v>
      </c>
    </row>
    <row r="42" spans="1:10" x14ac:dyDescent="0.25">
      <c r="A42" s="5" t="s">
        <v>26</v>
      </c>
      <c r="B42" s="6">
        <v>2</v>
      </c>
      <c r="C42" s="7">
        <v>80</v>
      </c>
      <c r="D42" s="7">
        <v>160</v>
      </c>
      <c r="E42" s="6" t="s">
        <v>23</v>
      </c>
      <c r="F42" s="6">
        <v>20</v>
      </c>
      <c r="G42" s="8" t="s">
        <v>27</v>
      </c>
      <c r="H42" s="9">
        <f t="shared" si="4"/>
        <v>1600</v>
      </c>
      <c r="I42" s="9">
        <f t="shared" si="5"/>
        <v>3200</v>
      </c>
      <c r="J42" s="9">
        <f t="shared" si="6"/>
        <v>1600</v>
      </c>
    </row>
    <row r="43" spans="1:10" x14ac:dyDescent="0.25">
      <c r="A43" s="10" t="s">
        <v>26</v>
      </c>
      <c r="B43" s="11">
        <v>4</v>
      </c>
      <c r="C43" s="12">
        <v>160</v>
      </c>
      <c r="D43" s="12">
        <v>320</v>
      </c>
      <c r="E43" s="11" t="s">
        <v>20</v>
      </c>
      <c r="F43" s="11">
        <v>30</v>
      </c>
      <c r="G43" s="13" t="s">
        <v>27</v>
      </c>
      <c r="H43" s="9">
        <f t="shared" si="4"/>
        <v>4800</v>
      </c>
      <c r="I43" s="9">
        <f t="shared" si="5"/>
        <v>9600</v>
      </c>
      <c r="J43" s="9">
        <f t="shared" si="6"/>
        <v>4800</v>
      </c>
    </row>
    <row r="44" spans="1:10" x14ac:dyDescent="0.25">
      <c r="A44" s="5" t="s">
        <v>26</v>
      </c>
      <c r="B44" s="6">
        <v>4</v>
      </c>
      <c r="C44" s="7">
        <v>160</v>
      </c>
      <c r="D44" s="7">
        <v>320</v>
      </c>
      <c r="E44" s="6" t="s">
        <v>22</v>
      </c>
      <c r="F44" s="6">
        <v>40</v>
      </c>
      <c r="G44" s="8" t="s">
        <v>27</v>
      </c>
      <c r="H44" s="9">
        <f t="shared" si="4"/>
        <v>6400</v>
      </c>
      <c r="I44" s="9">
        <f t="shared" si="5"/>
        <v>12800</v>
      </c>
      <c r="J44" s="9">
        <f t="shared" si="6"/>
        <v>6400</v>
      </c>
    </row>
  </sheetData>
  <mergeCells count="2">
    <mergeCell ref="A1:J1"/>
    <mergeCell ref="A24:J24"/>
  </mergeCells>
  <conditionalFormatting sqref="J3:J2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26:J4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CD9B-60B6-4484-A00F-1FBCEF64D510}">
  <dimension ref="A1:F37"/>
  <sheetViews>
    <sheetView zoomScaleNormal="100" workbookViewId="0">
      <selection activeCell="C5" sqref="C5"/>
    </sheetView>
  </sheetViews>
  <sheetFormatPr defaultColWidth="12.5703125" defaultRowHeight="15.75" x14ac:dyDescent="0.25"/>
  <cols>
    <col min="1" max="1" width="31.7109375" style="19" bestFit="1" customWidth="1"/>
    <col min="2" max="2" width="25.28515625" style="19" customWidth="1"/>
    <col min="3" max="3" width="39.28515625" style="19" customWidth="1"/>
    <col min="4" max="4" width="16.140625" style="19" customWidth="1"/>
    <col min="5" max="5" width="25.85546875" style="19" customWidth="1"/>
    <col min="6" max="6" width="30" style="19" customWidth="1"/>
    <col min="7" max="16384" width="12.5703125" style="19"/>
  </cols>
  <sheetData>
    <row r="1" spans="1:6" ht="15.75" customHeight="1" x14ac:dyDescent="0.25">
      <c r="C1" s="30" t="s">
        <v>77</v>
      </c>
      <c r="D1" s="31"/>
      <c r="E1" s="31"/>
      <c r="F1" s="31"/>
    </row>
    <row r="2" spans="1:6" ht="16.5" thickBot="1" x14ac:dyDescent="0.3">
      <c r="C2" s="32"/>
      <c r="D2" s="33"/>
      <c r="E2" s="33"/>
      <c r="F2" s="33"/>
    </row>
    <row r="3" spans="1:6" x14ac:dyDescent="0.25">
      <c r="C3" s="21"/>
      <c r="D3" s="21"/>
      <c r="E3" s="21"/>
      <c r="F3" s="21"/>
    </row>
    <row r="4" spans="1:6" x14ac:dyDescent="0.25">
      <c r="A4" s="20" t="s">
        <v>62</v>
      </c>
      <c r="C4" s="22" t="s">
        <v>8</v>
      </c>
      <c r="D4" s="22" t="s">
        <v>63</v>
      </c>
      <c r="E4" s="22" t="s">
        <v>65</v>
      </c>
      <c r="F4" s="22" t="s">
        <v>78</v>
      </c>
    </row>
    <row r="5" spans="1:6" x14ac:dyDescent="0.25">
      <c r="A5" s="19" t="s">
        <v>29</v>
      </c>
      <c r="C5" s="23" t="str">
        <f>_xlfn.TEXTBEFORE(_xlfn.TEXTAFTER(A5,"-"),"*")</f>
        <v>Francisco</v>
      </c>
      <c r="D5" s="23"/>
      <c r="E5" s="23"/>
      <c r="F5" s="23"/>
    </row>
    <row r="6" spans="1:6" x14ac:dyDescent="0.25">
      <c r="A6" s="19" t="s">
        <v>30</v>
      </c>
      <c r="C6" s="23" t="str">
        <f t="shared" ref="C6:C37" si="0">_xlfn.TEXTBEFORE(_xlfn.TEXTAFTER(A6,"-"),"*")</f>
        <v>eva</v>
      </c>
      <c r="D6" s="23"/>
      <c r="E6" s="23"/>
      <c r="F6" s="23"/>
    </row>
    <row r="7" spans="1:6" x14ac:dyDescent="0.25">
      <c r="A7" s="19" t="s">
        <v>31</v>
      </c>
      <c r="C7" s="23" t="str">
        <f t="shared" si="0"/>
        <v>Jimena</v>
      </c>
      <c r="D7" s="23"/>
      <c r="E7" s="23"/>
      <c r="F7" s="23"/>
    </row>
    <row r="8" spans="1:6" x14ac:dyDescent="0.25">
      <c r="A8" s="19" t="s">
        <v>32</v>
      </c>
      <c r="C8" s="23" t="str">
        <f t="shared" si="0"/>
        <v>Miguel</v>
      </c>
      <c r="D8" s="23"/>
      <c r="E8" s="23"/>
      <c r="F8" s="23"/>
    </row>
    <row r="9" spans="1:6" x14ac:dyDescent="0.25">
      <c r="A9" s="19" t="s">
        <v>33</v>
      </c>
      <c r="C9" s="23" t="str">
        <f t="shared" si="0"/>
        <v>Estefanía</v>
      </c>
      <c r="D9" s="23"/>
      <c r="E9" s="23"/>
      <c r="F9" s="23"/>
    </row>
    <row r="10" spans="1:6" x14ac:dyDescent="0.25">
      <c r="A10" s="19" t="s">
        <v>34</v>
      </c>
      <c r="C10" s="23" t="str">
        <f t="shared" si="0"/>
        <v>Jimena</v>
      </c>
      <c r="D10" s="23"/>
      <c r="E10" s="23"/>
      <c r="F10" s="23"/>
    </row>
    <row r="11" spans="1:6" x14ac:dyDescent="0.25">
      <c r="A11" s="19" t="s">
        <v>35</v>
      </c>
      <c r="C11" s="23" t="str">
        <f t="shared" si="0"/>
        <v>francisco</v>
      </c>
      <c r="D11" s="23"/>
      <c r="E11" s="23"/>
      <c r="F11" s="23"/>
    </row>
    <row r="12" spans="1:6" x14ac:dyDescent="0.25">
      <c r="A12" s="19" t="s">
        <v>36</v>
      </c>
      <c r="C12" s="23" t="str">
        <f t="shared" si="0"/>
        <v>emilio</v>
      </c>
      <c r="D12" s="23"/>
      <c r="E12" s="23"/>
      <c r="F12" s="23"/>
    </row>
    <row r="13" spans="1:6" x14ac:dyDescent="0.25">
      <c r="A13" s="19" t="s">
        <v>37</v>
      </c>
      <c r="C13" s="23" t="str">
        <f t="shared" si="0"/>
        <v>Emilio</v>
      </c>
      <c r="D13" s="23"/>
      <c r="E13" s="23"/>
      <c r="F13" s="23"/>
    </row>
    <row r="14" spans="1:6" x14ac:dyDescent="0.25">
      <c r="A14" s="19" t="s">
        <v>38</v>
      </c>
      <c r="C14" s="23" t="str">
        <f t="shared" si="0"/>
        <v>manuel</v>
      </c>
      <c r="D14" s="23"/>
      <c r="E14" s="23"/>
      <c r="F14" s="23"/>
    </row>
    <row r="15" spans="1:6" x14ac:dyDescent="0.25">
      <c r="A15" s="19" t="s">
        <v>39</v>
      </c>
      <c r="C15" s="23" t="str">
        <f t="shared" si="0"/>
        <v>Juan</v>
      </c>
      <c r="D15" s="23"/>
      <c r="E15" s="23"/>
      <c r="F15" s="23"/>
    </row>
    <row r="16" spans="1:6" x14ac:dyDescent="0.25">
      <c r="A16" s="19" t="s">
        <v>40</v>
      </c>
      <c r="C16" s="23" t="str">
        <f t="shared" si="0"/>
        <v>Yaiza</v>
      </c>
      <c r="D16" s="23"/>
      <c r="E16" s="23"/>
      <c r="F16" s="23"/>
    </row>
    <row r="17" spans="1:6" x14ac:dyDescent="0.25">
      <c r="A17" s="19" t="s">
        <v>41</v>
      </c>
      <c r="C17" s="23" t="str">
        <f t="shared" si="0"/>
        <v>Ignacio</v>
      </c>
      <c r="D17" s="23"/>
      <c r="E17" s="23"/>
      <c r="F17" s="23"/>
    </row>
    <row r="18" spans="1:6" x14ac:dyDescent="0.25">
      <c r="A18" s="19" t="s">
        <v>42</v>
      </c>
      <c r="C18" s="23" t="str">
        <f t="shared" si="0"/>
        <v>Luis</v>
      </c>
      <c r="D18" s="23"/>
      <c r="E18" s="23"/>
      <c r="F18" s="23"/>
    </row>
    <row r="19" spans="1:6" x14ac:dyDescent="0.25">
      <c r="A19" s="19" t="s">
        <v>43</v>
      </c>
      <c r="C19" s="23" t="str">
        <f t="shared" si="0"/>
        <v>Álvaro</v>
      </c>
      <c r="D19" s="23"/>
      <c r="E19" s="23"/>
      <c r="F19" s="23"/>
    </row>
    <row r="20" spans="1:6" x14ac:dyDescent="0.25">
      <c r="A20" s="19" t="s">
        <v>44</v>
      </c>
      <c r="C20" s="23" t="str">
        <f t="shared" si="0"/>
        <v>Juan</v>
      </c>
      <c r="D20" s="23"/>
      <c r="E20" s="23"/>
      <c r="F20" s="23"/>
    </row>
    <row r="21" spans="1:6" x14ac:dyDescent="0.25">
      <c r="A21" s="19" t="s">
        <v>45</v>
      </c>
      <c r="C21" s="23" t="str">
        <f t="shared" si="0"/>
        <v>Pilar</v>
      </c>
      <c r="D21" s="23"/>
      <c r="E21" s="23"/>
      <c r="F21" s="23"/>
    </row>
    <row r="22" spans="1:6" x14ac:dyDescent="0.25">
      <c r="A22" s="19" t="s">
        <v>46</v>
      </c>
      <c r="C22" s="23" t="str">
        <f t="shared" si="0"/>
        <v>Pilar</v>
      </c>
      <c r="D22" s="23"/>
      <c r="E22" s="23"/>
      <c r="F22" s="23"/>
    </row>
    <row r="23" spans="1:6" x14ac:dyDescent="0.25">
      <c r="A23" s="19" t="s">
        <v>47</v>
      </c>
      <c r="C23" s="23" t="str">
        <f t="shared" si="0"/>
        <v>Diego</v>
      </c>
      <c r="D23" s="23"/>
      <c r="E23" s="23"/>
      <c r="F23" s="23"/>
    </row>
    <row r="24" spans="1:6" x14ac:dyDescent="0.25">
      <c r="A24" s="19" t="s">
        <v>48</v>
      </c>
      <c r="C24" s="23" t="str">
        <f t="shared" si="0"/>
        <v>Jimena</v>
      </c>
      <c r="D24" s="23"/>
      <c r="E24" s="23"/>
      <c r="F24" s="23"/>
    </row>
    <row r="25" spans="1:6" x14ac:dyDescent="0.25">
      <c r="A25" s="19" t="s">
        <v>49</v>
      </c>
      <c r="C25" s="23" t="str">
        <f t="shared" si="0"/>
        <v>Francisco</v>
      </c>
      <c r="D25" s="23"/>
      <c r="E25" s="23"/>
      <c r="F25" s="23"/>
    </row>
    <row r="26" spans="1:6" x14ac:dyDescent="0.25">
      <c r="A26" s="19" t="s">
        <v>50</v>
      </c>
      <c r="C26" s="23" t="str">
        <f t="shared" si="0"/>
        <v>Pilar</v>
      </c>
      <c r="D26" s="23"/>
      <c r="E26" s="23"/>
      <c r="F26" s="23"/>
    </row>
    <row r="27" spans="1:6" x14ac:dyDescent="0.25">
      <c r="A27" s="19" t="s">
        <v>51</v>
      </c>
      <c r="C27" s="23" t="str">
        <f t="shared" si="0"/>
        <v>José</v>
      </c>
      <c r="D27" s="23"/>
      <c r="E27" s="23"/>
      <c r="F27" s="23"/>
    </row>
    <row r="28" spans="1:6" x14ac:dyDescent="0.25">
      <c r="A28" s="19" t="s">
        <v>52</v>
      </c>
      <c r="C28" s="23" t="str">
        <f t="shared" si="0"/>
        <v>Paula</v>
      </c>
      <c r="D28" s="23"/>
      <c r="E28" s="23"/>
      <c r="F28" s="23"/>
    </row>
    <row r="29" spans="1:6" x14ac:dyDescent="0.25">
      <c r="A29" s="19" t="s">
        <v>53</v>
      </c>
      <c r="C29" s="23" t="str">
        <f t="shared" si="0"/>
        <v>Lydia</v>
      </c>
      <c r="D29" s="23"/>
      <c r="E29" s="23"/>
      <c r="F29" s="23"/>
    </row>
    <row r="30" spans="1:6" x14ac:dyDescent="0.25">
      <c r="A30" s="19" t="s">
        <v>54</v>
      </c>
      <c r="C30" s="23" t="str">
        <f t="shared" si="0"/>
        <v>carmen</v>
      </c>
      <c r="D30" s="23"/>
      <c r="E30" s="23"/>
      <c r="F30" s="23"/>
    </row>
    <row r="31" spans="1:6" x14ac:dyDescent="0.25">
      <c r="A31" s="19" t="s">
        <v>55</v>
      </c>
      <c r="C31" s="23" t="str">
        <f t="shared" si="0"/>
        <v>Lydia</v>
      </c>
      <c r="D31" s="23"/>
      <c r="E31" s="23"/>
      <c r="F31" s="23"/>
    </row>
    <row r="32" spans="1:6" x14ac:dyDescent="0.25">
      <c r="A32" s="19" t="s">
        <v>56</v>
      </c>
      <c r="C32" s="23" t="str">
        <f t="shared" si="0"/>
        <v>Yaiza</v>
      </c>
      <c r="D32" s="23"/>
      <c r="E32" s="23"/>
      <c r="F32" s="23"/>
    </row>
    <row r="33" spans="1:6" x14ac:dyDescent="0.25">
      <c r="A33" s="19" t="s">
        <v>57</v>
      </c>
      <c r="C33" s="23" t="str">
        <f t="shared" si="0"/>
        <v>Manuel</v>
      </c>
      <c r="D33" s="23"/>
      <c r="E33" s="23"/>
      <c r="F33" s="23"/>
    </row>
    <row r="34" spans="1:6" x14ac:dyDescent="0.25">
      <c r="A34" s="19" t="s">
        <v>58</v>
      </c>
      <c r="C34" s="23" t="str">
        <f t="shared" si="0"/>
        <v>Román</v>
      </c>
      <c r="D34" s="23"/>
      <c r="E34" s="23"/>
      <c r="F34" s="23"/>
    </row>
    <row r="35" spans="1:6" x14ac:dyDescent="0.25">
      <c r="A35" s="19" t="s">
        <v>59</v>
      </c>
      <c r="C35" s="23" t="str">
        <f t="shared" si="0"/>
        <v>Yaiza</v>
      </c>
      <c r="D35" s="23"/>
      <c r="E35" s="23"/>
      <c r="F35" s="23"/>
    </row>
    <row r="36" spans="1:6" x14ac:dyDescent="0.25">
      <c r="A36" s="19" t="s">
        <v>60</v>
      </c>
      <c r="C36" s="23" t="str">
        <f t="shared" si="0"/>
        <v>Begoña</v>
      </c>
      <c r="D36" s="23"/>
      <c r="E36" s="23"/>
      <c r="F36" s="23"/>
    </row>
    <row r="37" spans="1:6" x14ac:dyDescent="0.25">
      <c r="A37" s="19" t="s">
        <v>61</v>
      </c>
      <c r="C37" s="23" t="str">
        <f t="shared" si="0"/>
        <v>juan</v>
      </c>
      <c r="D37" s="23"/>
      <c r="E37" s="23"/>
      <c r="F37" s="23"/>
    </row>
  </sheetData>
  <mergeCells count="1">
    <mergeCell ref="C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E6ED-B176-4F9F-827A-E0F66F015FCC}">
  <dimension ref="A1:E37"/>
  <sheetViews>
    <sheetView workbookViewId="0">
      <selection activeCell="E5" sqref="E5"/>
    </sheetView>
  </sheetViews>
  <sheetFormatPr defaultColWidth="12.5703125" defaultRowHeight="15.75" x14ac:dyDescent="0.25"/>
  <cols>
    <col min="1" max="1" width="31.7109375" style="19" bestFit="1" customWidth="1"/>
    <col min="2" max="2" width="39.28515625" style="19" customWidth="1"/>
    <col min="3" max="3" width="16.140625" style="19" customWidth="1"/>
    <col min="4" max="4" width="25.85546875" style="19" customWidth="1"/>
    <col min="5" max="5" width="23.42578125" style="19" customWidth="1"/>
    <col min="6" max="16384" width="12.5703125" style="19"/>
  </cols>
  <sheetData>
    <row r="1" spans="1:5" ht="15.75" customHeight="1" x14ac:dyDescent="0.25">
      <c r="B1" s="30" t="s">
        <v>79</v>
      </c>
      <c r="C1" s="31"/>
      <c r="D1" s="31"/>
      <c r="E1" s="31"/>
    </row>
    <row r="2" spans="1:5" ht="16.5" thickBot="1" x14ac:dyDescent="0.3">
      <c r="B2" s="32"/>
      <c r="C2" s="33"/>
      <c r="D2" s="33"/>
      <c r="E2" s="33"/>
    </row>
    <row r="3" spans="1:5" x14ac:dyDescent="0.25">
      <c r="B3" s="21"/>
      <c r="C3" s="21"/>
      <c r="D3" s="21"/>
      <c r="E3" s="21"/>
    </row>
    <row r="4" spans="1:5" x14ac:dyDescent="0.25">
      <c r="A4" s="20" t="s">
        <v>62</v>
      </c>
      <c r="B4" s="22" t="s">
        <v>8</v>
      </c>
      <c r="C4" s="22" t="s">
        <v>63</v>
      </c>
      <c r="D4" s="22" t="s">
        <v>64</v>
      </c>
      <c r="E4" s="22" t="s">
        <v>80</v>
      </c>
    </row>
    <row r="5" spans="1:5" x14ac:dyDescent="0.25">
      <c r="A5" s="19" t="s">
        <v>29</v>
      </c>
      <c r="B5" s="23" t="s">
        <v>111</v>
      </c>
      <c r="C5" s="23" t="s">
        <v>133</v>
      </c>
      <c r="D5" s="23" t="s">
        <v>137</v>
      </c>
      <c r="E5" s="23">
        <v>28951</v>
      </c>
    </row>
    <row r="6" spans="1:5" x14ac:dyDescent="0.25">
      <c r="A6" s="19" t="s">
        <v>30</v>
      </c>
      <c r="B6" s="23" t="s">
        <v>112</v>
      </c>
      <c r="C6" s="23" t="s">
        <v>134</v>
      </c>
      <c r="D6" s="23" t="s">
        <v>138</v>
      </c>
      <c r="E6" s="23">
        <v>29559</v>
      </c>
    </row>
    <row r="7" spans="1:5" x14ac:dyDescent="0.25">
      <c r="A7" s="19" t="s">
        <v>31</v>
      </c>
      <c r="B7" s="23" t="s">
        <v>113</v>
      </c>
      <c r="C7" s="23" t="s">
        <v>135</v>
      </c>
      <c r="D7" s="23" t="s">
        <v>137</v>
      </c>
      <c r="E7" s="23">
        <v>27483</v>
      </c>
    </row>
    <row r="8" spans="1:5" x14ac:dyDescent="0.25">
      <c r="A8" s="19" t="s">
        <v>32</v>
      </c>
      <c r="B8" s="23" t="s">
        <v>114</v>
      </c>
      <c r="C8" s="23" t="s">
        <v>134</v>
      </c>
      <c r="D8" s="23" t="s">
        <v>137</v>
      </c>
      <c r="E8" s="23">
        <v>29607</v>
      </c>
    </row>
    <row r="9" spans="1:5" x14ac:dyDescent="0.25">
      <c r="A9" s="19" t="s">
        <v>33</v>
      </c>
      <c r="B9" s="23" t="s">
        <v>115</v>
      </c>
      <c r="C9" s="23" t="s">
        <v>136</v>
      </c>
      <c r="D9" s="23" t="s">
        <v>138</v>
      </c>
      <c r="E9" s="23">
        <v>32846</v>
      </c>
    </row>
    <row r="10" spans="1:5" x14ac:dyDescent="0.25">
      <c r="A10" s="19" t="s">
        <v>34</v>
      </c>
      <c r="B10" s="23" t="s">
        <v>113</v>
      </c>
      <c r="C10" s="23" t="s">
        <v>133</v>
      </c>
      <c r="D10" s="23" t="s">
        <v>137</v>
      </c>
      <c r="E10" s="23">
        <v>23638</v>
      </c>
    </row>
    <row r="11" spans="1:5" x14ac:dyDescent="0.25">
      <c r="A11" s="19" t="s">
        <v>35</v>
      </c>
      <c r="B11" s="23" t="s">
        <v>116</v>
      </c>
      <c r="C11" s="23" t="s">
        <v>133</v>
      </c>
      <c r="D11" s="23" t="s">
        <v>138</v>
      </c>
      <c r="E11" s="23">
        <v>33360</v>
      </c>
    </row>
    <row r="12" spans="1:5" x14ac:dyDescent="0.25">
      <c r="A12" s="19" t="s">
        <v>36</v>
      </c>
      <c r="B12" s="23" t="s">
        <v>117</v>
      </c>
      <c r="C12" s="23" t="s">
        <v>134</v>
      </c>
      <c r="D12" s="23" t="s">
        <v>137</v>
      </c>
      <c r="E12" s="23">
        <v>35463</v>
      </c>
    </row>
    <row r="13" spans="1:5" x14ac:dyDescent="0.25">
      <c r="A13" s="19" t="s">
        <v>37</v>
      </c>
      <c r="B13" s="23" t="s">
        <v>118</v>
      </c>
      <c r="C13" s="23" t="s">
        <v>136</v>
      </c>
      <c r="D13" s="23" t="s">
        <v>138</v>
      </c>
      <c r="E13" s="23">
        <v>22613</v>
      </c>
    </row>
    <row r="14" spans="1:5" x14ac:dyDescent="0.25">
      <c r="A14" s="19" t="s">
        <v>38</v>
      </c>
      <c r="B14" s="23" t="s">
        <v>119</v>
      </c>
      <c r="C14" s="23" t="s">
        <v>134</v>
      </c>
      <c r="D14" s="23" t="s">
        <v>138</v>
      </c>
      <c r="E14" s="23">
        <v>35492</v>
      </c>
    </row>
    <row r="15" spans="1:5" x14ac:dyDescent="0.25">
      <c r="A15" s="19" t="s">
        <v>39</v>
      </c>
      <c r="B15" s="23" t="s">
        <v>120</v>
      </c>
      <c r="C15" s="23" t="s">
        <v>135</v>
      </c>
      <c r="D15" s="23" t="s">
        <v>138</v>
      </c>
      <c r="E15" s="23">
        <v>26528</v>
      </c>
    </row>
    <row r="16" spans="1:5" x14ac:dyDescent="0.25">
      <c r="A16" s="19" t="s">
        <v>40</v>
      </c>
      <c r="B16" s="23" t="s">
        <v>121</v>
      </c>
      <c r="C16" s="23" t="s">
        <v>133</v>
      </c>
      <c r="D16" s="23" t="s">
        <v>137</v>
      </c>
      <c r="E16" s="23">
        <v>27969</v>
      </c>
    </row>
    <row r="17" spans="1:5" x14ac:dyDescent="0.25">
      <c r="A17" s="19" t="s">
        <v>41</v>
      </c>
      <c r="B17" s="23" t="s">
        <v>122</v>
      </c>
      <c r="C17" s="23" t="s">
        <v>135</v>
      </c>
      <c r="D17" s="23" t="s">
        <v>137</v>
      </c>
      <c r="E17" s="23">
        <v>26743</v>
      </c>
    </row>
    <row r="18" spans="1:5" x14ac:dyDescent="0.25">
      <c r="A18" s="19" t="s">
        <v>42</v>
      </c>
      <c r="B18" s="23" t="s">
        <v>82</v>
      </c>
      <c r="C18" s="23" t="s">
        <v>133</v>
      </c>
      <c r="D18" s="23" t="s">
        <v>138</v>
      </c>
      <c r="E18" s="23">
        <v>22415</v>
      </c>
    </row>
    <row r="19" spans="1:5" x14ac:dyDescent="0.25">
      <c r="A19" s="19" t="s">
        <v>43</v>
      </c>
      <c r="B19" s="23" t="s">
        <v>123</v>
      </c>
      <c r="C19" s="23" t="s">
        <v>136</v>
      </c>
      <c r="D19" s="23" t="s">
        <v>138</v>
      </c>
      <c r="E19" s="23">
        <v>26845</v>
      </c>
    </row>
    <row r="20" spans="1:5" x14ac:dyDescent="0.25">
      <c r="A20" s="19" t="s">
        <v>44</v>
      </c>
      <c r="B20" s="23" t="s">
        <v>120</v>
      </c>
      <c r="C20" s="23" t="s">
        <v>136</v>
      </c>
      <c r="D20" s="23" t="s">
        <v>137</v>
      </c>
      <c r="E20" s="23">
        <v>29228</v>
      </c>
    </row>
    <row r="21" spans="1:5" x14ac:dyDescent="0.25">
      <c r="A21" s="19" t="s">
        <v>45</v>
      </c>
      <c r="B21" s="23" t="s">
        <v>124</v>
      </c>
      <c r="C21" s="23" t="s">
        <v>135</v>
      </c>
      <c r="D21" s="23" t="s">
        <v>138</v>
      </c>
      <c r="E21" s="23">
        <v>27411</v>
      </c>
    </row>
    <row r="22" spans="1:5" x14ac:dyDescent="0.25">
      <c r="A22" s="19" t="s">
        <v>46</v>
      </c>
      <c r="B22" s="23" t="s">
        <v>124</v>
      </c>
      <c r="C22" s="23" t="s">
        <v>136</v>
      </c>
      <c r="D22" s="23" t="s">
        <v>138</v>
      </c>
      <c r="E22" s="23">
        <v>24720</v>
      </c>
    </row>
    <row r="23" spans="1:5" x14ac:dyDescent="0.25">
      <c r="A23" s="19" t="s">
        <v>47</v>
      </c>
      <c r="B23" s="23" t="s">
        <v>125</v>
      </c>
      <c r="C23" s="23" t="s">
        <v>133</v>
      </c>
      <c r="D23" s="23" t="s">
        <v>138</v>
      </c>
      <c r="E23" s="23">
        <v>25482</v>
      </c>
    </row>
    <row r="24" spans="1:5" x14ac:dyDescent="0.25">
      <c r="A24" s="19" t="s">
        <v>48</v>
      </c>
      <c r="B24" s="23" t="s">
        <v>113</v>
      </c>
      <c r="C24" s="23" t="s">
        <v>135</v>
      </c>
      <c r="D24" s="23" t="s">
        <v>138</v>
      </c>
      <c r="E24" s="23">
        <v>27699</v>
      </c>
    </row>
    <row r="25" spans="1:5" x14ac:dyDescent="0.25">
      <c r="A25" s="19" t="s">
        <v>49</v>
      </c>
      <c r="B25" s="23" t="s">
        <v>111</v>
      </c>
      <c r="C25" s="23" t="s">
        <v>135</v>
      </c>
      <c r="D25" s="23" t="s">
        <v>137</v>
      </c>
      <c r="E25" s="23">
        <v>35830</v>
      </c>
    </row>
    <row r="26" spans="1:5" x14ac:dyDescent="0.25">
      <c r="A26" s="19" t="s">
        <v>50</v>
      </c>
      <c r="B26" s="23" t="s">
        <v>124</v>
      </c>
      <c r="C26" s="23" t="s">
        <v>135</v>
      </c>
      <c r="D26" s="23" t="s">
        <v>138</v>
      </c>
      <c r="E26" s="23">
        <v>36134</v>
      </c>
    </row>
    <row r="27" spans="1:5" x14ac:dyDescent="0.25">
      <c r="A27" s="19" t="s">
        <v>51</v>
      </c>
      <c r="B27" s="23" t="s">
        <v>126</v>
      </c>
      <c r="C27" s="23" t="s">
        <v>134</v>
      </c>
      <c r="D27" s="23" t="s">
        <v>138</v>
      </c>
      <c r="E27" s="23">
        <v>27243</v>
      </c>
    </row>
    <row r="28" spans="1:5" x14ac:dyDescent="0.25">
      <c r="A28" s="19" t="s">
        <v>52</v>
      </c>
      <c r="B28" s="23" t="s">
        <v>88</v>
      </c>
      <c r="C28" s="23" t="s">
        <v>135</v>
      </c>
      <c r="D28" s="23" t="s">
        <v>137</v>
      </c>
      <c r="E28" s="23">
        <v>32648</v>
      </c>
    </row>
    <row r="29" spans="1:5" x14ac:dyDescent="0.25">
      <c r="A29" s="19" t="s">
        <v>53</v>
      </c>
      <c r="B29" s="23" t="s">
        <v>127</v>
      </c>
      <c r="C29" s="23" t="s">
        <v>135</v>
      </c>
      <c r="D29" s="23" t="s">
        <v>138</v>
      </c>
      <c r="E29" s="23">
        <v>30118</v>
      </c>
    </row>
    <row r="30" spans="1:5" x14ac:dyDescent="0.25">
      <c r="A30" s="19" t="s">
        <v>54</v>
      </c>
      <c r="B30" s="23" t="s">
        <v>128</v>
      </c>
      <c r="C30" s="23" t="s">
        <v>135</v>
      </c>
      <c r="D30" s="23" t="s">
        <v>137</v>
      </c>
      <c r="E30" s="23">
        <v>35457</v>
      </c>
    </row>
    <row r="31" spans="1:5" x14ac:dyDescent="0.25">
      <c r="A31" s="19" t="s">
        <v>55</v>
      </c>
      <c r="B31" s="23" t="s">
        <v>127</v>
      </c>
      <c r="C31" s="23" t="s">
        <v>136</v>
      </c>
      <c r="D31" s="23" t="s">
        <v>137</v>
      </c>
      <c r="E31" s="23">
        <v>31073</v>
      </c>
    </row>
    <row r="32" spans="1:5" x14ac:dyDescent="0.25">
      <c r="A32" s="19" t="s">
        <v>56</v>
      </c>
      <c r="B32" s="23" t="s">
        <v>121</v>
      </c>
      <c r="C32" s="23" t="s">
        <v>134</v>
      </c>
      <c r="D32" s="23" t="s">
        <v>137</v>
      </c>
      <c r="E32" s="23">
        <v>26679</v>
      </c>
    </row>
    <row r="33" spans="1:5" x14ac:dyDescent="0.25">
      <c r="A33" s="19" t="s">
        <v>57</v>
      </c>
      <c r="B33" s="23" t="s">
        <v>129</v>
      </c>
      <c r="C33" s="23" t="s">
        <v>136</v>
      </c>
      <c r="D33" s="23" t="s">
        <v>138</v>
      </c>
      <c r="E33" s="23">
        <v>29987</v>
      </c>
    </row>
    <row r="34" spans="1:5" x14ac:dyDescent="0.25">
      <c r="A34" s="19" t="s">
        <v>58</v>
      </c>
      <c r="B34" s="23" t="s">
        <v>130</v>
      </c>
      <c r="C34" s="23" t="s">
        <v>134</v>
      </c>
      <c r="D34" s="23" t="s">
        <v>137</v>
      </c>
      <c r="E34" s="23">
        <v>32414</v>
      </c>
    </row>
    <row r="35" spans="1:5" x14ac:dyDescent="0.25">
      <c r="A35" s="19" t="s">
        <v>59</v>
      </c>
      <c r="B35" s="23" t="s">
        <v>121</v>
      </c>
      <c r="C35" s="23" t="s">
        <v>136</v>
      </c>
      <c r="D35" s="23" t="s">
        <v>138</v>
      </c>
      <c r="E35" s="23">
        <v>26019</v>
      </c>
    </row>
    <row r="36" spans="1:5" x14ac:dyDescent="0.25">
      <c r="A36" s="19" t="s">
        <v>60</v>
      </c>
      <c r="B36" s="23" t="s">
        <v>131</v>
      </c>
      <c r="C36" s="23" t="s">
        <v>135</v>
      </c>
      <c r="D36" s="23" t="s">
        <v>137</v>
      </c>
      <c r="E36" s="23">
        <v>23270</v>
      </c>
    </row>
    <row r="37" spans="1:5" x14ac:dyDescent="0.25">
      <c r="A37" s="19" t="s">
        <v>61</v>
      </c>
      <c r="B37" s="23" t="s">
        <v>132</v>
      </c>
      <c r="C37" s="23" t="s">
        <v>133</v>
      </c>
      <c r="D37" s="23" t="s">
        <v>138</v>
      </c>
      <c r="E37" s="23">
        <v>23837</v>
      </c>
    </row>
  </sheetData>
  <mergeCells count="1"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functions</vt:lpstr>
      <vt:lpstr>concat</vt:lpstr>
      <vt:lpstr>Text Cleaning</vt:lpstr>
      <vt:lpstr>Text Cleaning with FlashFill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2021-11-25T11:00:57Z</dcterms:created>
  <dcterms:modified xsi:type="dcterms:W3CDTF">2025-11-03T13:28:09Z</dcterms:modified>
</cp:coreProperties>
</file>