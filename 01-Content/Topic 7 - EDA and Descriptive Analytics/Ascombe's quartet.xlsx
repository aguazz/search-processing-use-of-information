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unefedu-my.sharepoint.com/personal/abel_guada_cunef_edu/Documents/Teaching/2024-25/2024-25 - 1er-C - BUTI - 1ro ADE-D/Topic 6 - EDA and Descriptive Analytics/"/>
    </mc:Choice>
  </mc:AlternateContent>
  <xr:revisionPtr revIDLastSave="45" documentId="13_ncr:1_{B0FCCAD0-A548-44D2-8B00-32B5FF880E37}" xr6:coauthVersionLast="47" xr6:coauthVersionMax="47" xr10:uidLastSave="{780DDD3B-AA65-4350-AE5E-CD495BA84F14}"/>
  <bookViews>
    <workbookView xWindow="-98" yWindow="-98" windowWidth="21795" windowHeight="12975" xr2:uid="{DCAEBBD0-62A6-4646-8B41-44C76E9CB57F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2" l="1"/>
  <c r="F16" i="2"/>
  <c r="H16" i="2"/>
  <c r="B16" i="2"/>
  <c r="C15" i="2"/>
  <c r="D15" i="2"/>
  <c r="E15" i="2"/>
  <c r="F15" i="2"/>
  <c r="G15" i="2"/>
  <c r="H15" i="2"/>
  <c r="I15" i="2"/>
  <c r="B15" i="2"/>
  <c r="C14" i="2"/>
  <c r="D14" i="2"/>
  <c r="E14" i="2"/>
  <c r="F14" i="2"/>
  <c r="G14" i="2"/>
  <c r="H14" i="2"/>
  <c r="I14" i="2"/>
  <c r="B14" i="2"/>
</calcChain>
</file>

<file path=xl/sharedStrings.xml><?xml version="1.0" encoding="utf-8"?>
<sst xmlns="http://schemas.openxmlformats.org/spreadsheetml/2006/main" count="16" uniqueCount="11">
  <si>
    <t>x</t>
  </si>
  <si>
    <t>y</t>
  </si>
  <si>
    <t>X</t>
  </si>
  <si>
    <t>Dataset 1</t>
  </si>
  <si>
    <t>Dataset 2</t>
  </si>
  <si>
    <t>Dataset 3</t>
  </si>
  <si>
    <t>Dataset 4</t>
  </si>
  <si>
    <t>AVERAGE - PROMEDIO</t>
  </si>
  <si>
    <t>STDEV - DESVEST</t>
  </si>
  <si>
    <t>CORRELATION - CORRELACION</t>
  </si>
  <si>
    <t>CALCULA: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</si>
</sst>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Dataset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DATA!$B$3:$B$13</c:f>
              <c:numCache>
                <c:formatCode>General</c:formatCode>
                <c:ptCount val="11"/>
                <c:pt idx="0">
                  <c:v>10</c:v>
                </c:pt>
                <c:pt idx="1">
                  <c:v>8</c:v>
                </c:pt>
                <c:pt idx="2">
                  <c:v>13</c:v>
                </c:pt>
                <c:pt idx="3">
                  <c:v>9</c:v>
                </c:pt>
                <c:pt idx="4">
                  <c:v>11</c:v>
                </c:pt>
                <c:pt idx="5">
                  <c:v>14</c:v>
                </c:pt>
                <c:pt idx="6">
                  <c:v>6</c:v>
                </c:pt>
                <c:pt idx="7">
                  <c:v>4</c:v>
                </c:pt>
                <c:pt idx="8">
                  <c:v>12</c:v>
                </c:pt>
                <c:pt idx="9">
                  <c:v>7</c:v>
                </c:pt>
                <c:pt idx="10">
                  <c:v>5</c:v>
                </c:pt>
              </c:numCache>
            </c:numRef>
          </c:xVal>
          <c:yVal>
            <c:numRef>
              <c:f>DATA!$C$3:$C$13</c:f>
              <c:numCache>
                <c:formatCode>General</c:formatCode>
                <c:ptCount val="11"/>
                <c:pt idx="0">
                  <c:v>8.0399999999999991</c:v>
                </c:pt>
                <c:pt idx="1">
                  <c:v>6.95</c:v>
                </c:pt>
                <c:pt idx="2">
                  <c:v>7.58</c:v>
                </c:pt>
                <c:pt idx="3">
                  <c:v>8.81</c:v>
                </c:pt>
                <c:pt idx="4">
                  <c:v>8.33</c:v>
                </c:pt>
                <c:pt idx="5">
                  <c:v>9.9600000000000009</c:v>
                </c:pt>
                <c:pt idx="6">
                  <c:v>7.24</c:v>
                </c:pt>
                <c:pt idx="7">
                  <c:v>4.26</c:v>
                </c:pt>
                <c:pt idx="8">
                  <c:v>10.84</c:v>
                </c:pt>
                <c:pt idx="9">
                  <c:v>4.82</c:v>
                </c:pt>
                <c:pt idx="10">
                  <c:v>5.68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B8-4E79-B42E-752206FFA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70032"/>
        <c:axId val="151875312"/>
      </c:scatterChart>
      <c:valAx>
        <c:axId val="151870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75312"/>
        <c:crosses val="autoZero"/>
        <c:crossBetween val="midCat"/>
      </c:valAx>
      <c:valAx>
        <c:axId val="15187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70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1993106</xdr:colOff>
      <xdr:row>16</xdr:row>
      <xdr:rowOff>178593</xdr:rowOff>
    </xdr:from>
    <xdr:to>
      <xdr:col>7</xdr:col>
      <xdr:colOff>650081</xdr:colOff>
      <xdr:row>32</xdr:row>
      <xdr:rowOff>26193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CF9867-4362-DB2C-430B-D294993559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C89AA-4376-4B6C-9E77-41DF7CCA240C}">
  <dimension ref="A1:I16"/>
  <sheetViews>
    <sheetView tabSelected="1" workbookViewId="0">
      <selection activeCell="K20" sqref="K20"/>
    </sheetView>
  </sheetViews>
  <sheetFormatPr defaultColWidth="9.1328125" defaultRowHeight="14.25" x14ac:dyDescent="0.45"/>
  <cols>
    <col min="1" max="1" width="28" bestFit="1" customWidth="1"/>
    <col min="9" max="9" width="13.59765625" bestFit="1" customWidth="1"/>
  </cols>
  <sheetData>
    <row r="1" spans="1:9" x14ac:dyDescent="0.45">
      <c r="B1" s="3" t="s">
        <v>3</v>
      </c>
      <c r="C1" s="3"/>
      <c r="D1" s="3" t="s">
        <v>4</v>
      </c>
      <c r="E1" s="3"/>
      <c r="F1" s="3" t="s">
        <v>5</v>
      </c>
      <c r="G1" s="3"/>
      <c r="H1" s="3" t="s">
        <v>6</v>
      </c>
      <c r="I1" s="3"/>
    </row>
    <row r="2" spans="1:9" x14ac:dyDescent="0.45">
      <c r="B2" s="2" t="s">
        <v>0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</row>
    <row r="3" spans="1:9" x14ac:dyDescent="0.45">
      <c r="B3" s="1">
        <v>10</v>
      </c>
      <c r="C3" s="1">
        <v>8.0399999999999991</v>
      </c>
      <c r="D3" s="1">
        <v>10</v>
      </c>
      <c r="E3" s="1">
        <v>9.14</v>
      </c>
      <c r="F3" s="1">
        <v>10</v>
      </c>
      <c r="G3" s="1">
        <v>7.46</v>
      </c>
      <c r="H3" s="1">
        <v>8</v>
      </c>
      <c r="I3" s="1">
        <v>6.58</v>
      </c>
    </row>
    <row r="4" spans="1:9" x14ac:dyDescent="0.45">
      <c r="B4" s="1">
        <v>8</v>
      </c>
      <c r="C4" s="1">
        <v>6.95</v>
      </c>
      <c r="D4" s="1">
        <v>8</v>
      </c>
      <c r="E4" s="1">
        <v>8.14</v>
      </c>
      <c r="F4" s="1">
        <v>8</v>
      </c>
      <c r="G4" s="1">
        <v>6.77</v>
      </c>
      <c r="H4" s="1">
        <v>8</v>
      </c>
      <c r="I4" s="1">
        <v>5.76</v>
      </c>
    </row>
    <row r="5" spans="1:9" x14ac:dyDescent="0.45">
      <c r="B5" s="1">
        <v>13</v>
      </c>
      <c r="C5" s="1">
        <v>7.58</v>
      </c>
      <c r="D5" s="1">
        <v>13</v>
      </c>
      <c r="E5" s="1">
        <v>8.74</v>
      </c>
      <c r="F5" s="1">
        <v>13</v>
      </c>
      <c r="G5" s="1">
        <v>12.74</v>
      </c>
      <c r="H5" s="1">
        <v>8</v>
      </c>
      <c r="I5" s="1">
        <v>7.71</v>
      </c>
    </row>
    <row r="6" spans="1:9" x14ac:dyDescent="0.45">
      <c r="B6" s="1">
        <v>9</v>
      </c>
      <c r="C6" s="1">
        <v>8.81</v>
      </c>
      <c r="D6" s="1">
        <v>9</v>
      </c>
      <c r="E6" s="1">
        <v>8.77</v>
      </c>
      <c r="F6" s="1">
        <v>9</v>
      </c>
      <c r="G6" s="1">
        <v>7.11</v>
      </c>
      <c r="H6" s="1">
        <v>8</v>
      </c>
      <c r="I6" s="1">
        <v>8.84</v>
      </c>
    </row>
    <row r="7" spans="1:9" x14ac:dyDescent="0.45">
      <c r="B7" s="1">
        <v>11</v>
      </c>
      <c r="C7" s="1">
        <v>8.33</v>
      </c>
      <c r="D7" s="1">
        <v>11</v>
      </c>
      <c r="E7" s="1">
        <v>9.26</v>
      </c>
      <c r="F7" s="1">
        <v>11</v>
      </c>
      <c r="G7" s="1">
        <v>7.81</v>
      </c>
      <c r="H7" s="1">
        <v>8</v>
      </c>
      <c r="I7" s="1">
        <v>8.4700000000000006</v>
      </c>
    </row>
    <row r="8" spans="1:9" x14ac:dyDescent="0.45">
      <c r="B8" s="1">
        <v>14</v>
      </c>
      <c r="C8" s="1">
        <v>9.9600000000000009</v>
      </c>
      <c r="D8" s="1">
        <v>14</v>
      </c>
      <c r="E8" s="1">
        <v>8.1</v>
      </c>
      <c r="F8" s="1">
        <v>14</v>
      </c>
      <c r="G8" s="1">
        <v>8.84</v>
      </c>
      <c r="H8" s="1">
        <v>8</v>
      </c>
      <c r="I8" s="1">
        <v>7.04</v>
      </c>
    </row>
    <row r="9" spans="1:9" x14ac:dyDescent="0.45">
      <c r="B9" s="1">
        <v>6</v>
      </c>
      <c r="C9" s="1">
        <v>7.24</v>
      </c>
      <c r="D9" s="1">
        <v>6</v>
      </c>
      <c r="E9" s="1">
        <v>6.13</v>
      </c>
      <c r="F9" s="1">
        <v>6</v>
      </c>
      <c r="G9" s="1">
        <v>6.08</v>
      </c>
      <c r="H9" s="1">
        <v>8</v>
      </c>
      <c r="I9" s="1">
        <v>5.25</v>
      </c>
    </row>
    <row r="10" spans="1:9" x14ac:dyDescent="0.45">
      <c r="B10" s="1">
        <v>4</v>
      </c>
      <c r="C10" s="1">
        <v>4.26</v>
      </c>
      <c r="D10" s="1">
        <v>4</v>
      </c>
      <c r="E10" s="1">
        <v>3.1</v>
      </c>
      <c r="F10" s="1">
        <v>4</v>
      </c>
      <c r="G10" s="1">
        <v>5.39</v>
      </c>
      <c r="H10" s="1">
        <v>19</v>
      </c>
      <c r="I10" s="1">
        <v>12.5</v>
      </c>
    </row>
    <row r="11" spans="1:9" x14ac:dyDescent="0.45">
      <c r="B11" s="1">
        <v>12</v>
      </c>
      <c r="C11" s="1">
        <v>10.84</v>
      </c>
      <c r="D11" s="1">
        <v>12</v>
      </c>
      <c r="E11" s="1">
        <v>9.1300000000000008</v>
      </c>
      <c r="F11" s="1">
        <v>12</v>
      </c>
      <c r="G11" s="1">
        <v>8.15</v>
      </c>
      <c r="H11" s="1">
        <v>8</v>
      </c>
      <c r="I11" s="1">
        <v>5.56</v>
      </c>
    </row>
    <row r="12" spans="1:9" x14ac:dyDescent="0.45">
      <c r="B12" s="1">
        <v>7</v>
      </c>
      <c r="C12" s="1">
        <v>4.82</v>
      </c>
      <c r="D12" s="1">
        <v>7</v>
      </c>
      <c r="E12" s="1">
        <v>7.26</v>
      </c>
      <c r="F12" s="1">
        <v>7</v>
      </c>
      <c r="G12" s="1">
        <v>6.42</v>
      </c>
      <c r="H12" s="1">
        <v>8</v>
      </c>
      <c r="I12" s="1">
        <v>7.91</v>
      </c>
    </row>
    <row r="13" spans="1:9" x14ac:dyDescent="0.45">
      <c r="A13" t="s">
        <v>10</v>
      </c>
      <c r="B13" s="1">
        <v>5</v>
      </c>
      <c r="C13" s="1">
        <v>5.68</v>
      </c>
      <c r="D13" s="1">
        <v>5</v>
      </c>
      <c r="E13" s="1">
        <v>4.74</v>
      </c>
      <c r="F13" s="1">
        <v>5</v>
      </c>
      <c r="G13" s="1">
        <v>5.73</v>
      </c>
      <c r="H13" s="1">
        <v>8</v>
      </c>
      <c r="I13" s="1">
        <v>6.89</v>
      </c>
    </row>
    <row r="14" spans="1:9" x14ac:dyDescent="0.45">
      <c r="A14" t="s">
        <v>7</v>
      </c>
      <c r="B14" s="4">
        <f>AVERAGE(B3:B13)</f>
        <v>9</v>
      </c>
      <c r="C14" s="4">
        <f t="shared" ref="C14:I14" si="0">AVERAGE(C3:C13)</f>
        <v>7.5009090909090927</v>
      </c>
      <c r="D14" s="4">
        <f t="shared" si="0"/>
        <v>9</v>
      </c>
      <c r="E14" s="4">
        <f t="shared" si="0"/>
        <v>7.500909090909091</v>
      </c>
      <c r="F14" s="4">
        <f t="shared" si="0"/>
        <v>9</v>
      </c>
      <c r="G14" s="4">
        <f t="shared" si="0"/>
        <v>7.5000000000000009</v>
      </c>
      <c r="H14" s="4">
        <f t="shared" si="0"/>
        <v>9</v>
      </c>
      <c r="I14" s="4">
        <f t="shared" si="0"/>
        <v>7.5009090909090901</v>
      </c>
    </row>
    <row r="15" spans="1:9" x14ac:dyDescent="0.45">
      <c r="A15" t="s">
        <v>8</v>
      </c>
      <c r="B15" s="1">
        <f>_xlfn.VAR.S(B3:B13)</f>
        <v>11</v>
      </c>
      <c r="C15" s="5">
        <f t="shared" ref="C15:I15" si="1">_xlfn.VAR.S(C3:C13)</f>
        <v>4.1272690909090439</v>
      </c>
      <c r="D15" s="5">
        <f t="shared" si="1"/>
        <v>11</v>
      </c>
      <c r="E15" s="5">
        <f t="shared" si="1"/>
        <v>4.1276290909090791</v>
      </c>
      <c r="F15" s="5">
        <f t="shared" si="1"/>
        <v>11</v>
      </c>
      <c r="G15" s="5">
        <f t="shared" si="1"/>
        <v>4.1226199999999835</v>
      </c>
      <c r="H15" s="5">
        <f t="shared" si="1"/>
        <v>11</v>
      </c>
      <c r="I15" s="5">
        <f t="shared" si="1"/>
        <v>4.1232490909090869</v>
      </c>
    </row>
    <row r="16" spans="1:9" x14ac:dyDescent="0.45">
      <c r="A16" t="s">
        <v>9</v>
      </c>
      <c r="B16" s="5">
        <f>CORREL(B3:B13,C3:C13)</f>
        <v>0.81642051634483992</v>
      </c>
      <c r="C16" s="5"/>
      <c r="D16" s="5">
        <f t="shared" ref="C16:I16" si="2">CORREL(D3:D13,E3:E13)</f>
        <v>0.81623650600024267</v>
      </c>
      <c r="E16" s="5"/>
      <c r="F16" s="5">
        <f t="shared" si="2"/>
        <v>0.81628673948959818</v>
      </c>
      <c r="G16" s="5"/>
      <c r="H16" s="5">
        <f t="shared" si="2"/>
        <v>0.81652143688850276</v>
      </c>
      <c r="I16" s="1"/>
    </row>
  </sheetData>
  <mergeCells count="4">
    <mergeCell ref="B1:C1"/>
    <mergeCell ref="D1:E1"/>
    <mergeCell ref="F1:G1"/>
    <mergeCell ref="H1:I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Velasco</dc:creator>
  <cp:lastModifiedBy>Guada Azze, Abel</cp:lastModifiedBy>
  <dcterms:created xsi:type="dcterms:W3CDTF">2021-10-17T14:53:49Z</dcterms:created>
  <dcterms:modified xsi:type="dcterms:W3CDTF">2024-10-10T12:26:07Z</dcterms:modified>
</cp:coreProperties>
</file>