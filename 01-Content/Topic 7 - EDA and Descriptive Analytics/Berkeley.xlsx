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Topic 6 - EDA and Descriptive Analytics/"/>
    </mc:Choice>
  </mc:AlternateContent>
  <xr:revisionPtr revIDLastSave="18" documentId="13_ncr:1_{89983D92-AB94-4308-95F4-1F498D161AC2}" xr6:coauthVersionLast="47" xr6:coauthVersionMax="47" xr10:uidLastSave="{F273618F-87F4-4301-B1C5-3E6748AC7CD4}"/>
  <bookViews>
    <workbookView xWindow="-98" yWindow="-98" windowWidth="21795" windowHeight="12975" xr2:uid="{62170FC6-C743-4212-BE71-BDAE647F6665}"/>
  </bookViews>
  <sheets>
    <sheet name="datos sin rellenar" sheetId="6" r:id="rId1"/>
    <sheet name="datos completos" sheetId="1" r:id="rId2"/>
    <sheet name="combo cha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6" l="1"/>
  <c r="G16" i="6"/>
  <c r="G11" i="6"/>
  <c r="G12" i="6"/>
  <c r="G13" i="6"/>
  <c r="G14" i="6"/>
  <c r="G15" i="6"/>
  <c r="G10" i="6"/>
  <c r="E16" i="6"/>
  <c r="D16" i="6"/>
  <c r="D11" i="6"/>
  <c r="D12" i="6"/>
  <c r="D13" i="6"/>
  <c r="D14" i="6"/>
  <c r="D15" i="6"/>
  <c r="D10" i="6"/>
  <c r="F16" i="6"/>
  <c r="C16" i="6"/>
  <c r="C3" i="1"/>
  <c r="E3" i="1" s="1"/>
  <c r="L11" i="1"/>
  <c r="L12" i="1"/>
  <c r="L13" i="1"/>
  <c r="L14" i="1"/>
  <c r="L15" i="1"/>
  <c r="L10" i="1"/>
  <c r="I11" i="1"/>
  <c r="J11" i="1"/>
  <c r="I12" i="1"/>
  <c r="J12" i="1"/>
  <c r="I13" i="1"/>
  <c r="J13" i="1"/>
  <c r="I14" i="1"/>
  <c r="J14" i="1"/>
  <c r="I15" i="1"/>
  <c r="J15" i="1"/>
  <c r="J10" i="1"/>
  <c r="I10" i="1"/>
  <c r="F16" i="1"/>
  <c r="C16" i="1"/>
  <c r="I16" i="1" s="1"/>
  <c r="G15" i="1"/>
  <c r="D15" i="1"/>
  <c r="G14" i="1"/>
  <c r="D14" i="1"/>
  <c r="G13" i="1"/>
  <c r="K13" i="1" s="1"/>
  <c r="D13" i="1"/>
  <c r="G12" i="1"/>
  <c r="K12" i="1" s="1"/>
  <c r="M12" i="1" s="1"/>
  <c r="D12" i="1"/>
  <c r="G11" i="1"/>
  <c r="K11" i="1" s="1"/>
  <c r="M11" i="1" s="1"/>
  <c r="D11" i="1"/>
  <c r="G10" i="1"/>
  <c r="D10" i="1"/>
  <c r="K15" i="1" l="1"/>
  <c r="M15" i="1" s="1"/>
  <c r="M13" i="1"/>
  <c r="K14" i="1"/>
  <c r="M14" i="1" s="1"/>
  <c r="J16" i="1"/>
  <c r="K10" i="1"/>
  <c r="M10" i="1" s="1"/>
  <c r="D16" i="1"/>
  <c r="L16" i="1"/>
  <c r="G16" i="1"/>
  <c r="H16" i="1" l="1"/>
  <c r="K16" i="1"/>
  <c r="M16" i="1" s="1"/>
  <c r="E16" i="1"/>
  <c r="C4" i="1"/>
  <c r="C5" i="1" s="1"/>
  <c r="D4" i="1"/>
  <c r="D5" i="1" l="1"/>
  <c r="E4" i="1"/>
  <c r="E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2FFBE4-88A5-4729-B17A-4FBDEA86260E}" keepAlive="1" name="Consulta - Discriminación por género en Berkeley[editar]" description="Conexión a la consulta 'Discriminación por género en Berkeley[editar]' en el libro." type="5" refreshedVersion="0" background="1">
    <dbPr connection="Provider=Microsoft.Mashup.OleDb.1;Data Source=$Workbook$;Location=&quot;Discriminación por género en Berkeley[editar]&quot;;Extended Properties=&quot;&quot;" command="SELECT * FROM [Discriminación por género en Berkeley[editar]]]"/>
  </connection>
</connections>
</file>

<file path=xl/sharedStrings.xml><?xml version="1.0" encoding="utf-8"?>
<sst xmlns="http://schemas.openxmlformats.org/spreadsheetml/2006/main" count="46" uniqueCount="17">
  <si>
    <t>Candidatos</t>
  </si>
  <si>
    <t>Admitidos</t>
  </si>
  <si>
    <t>% Admitidos</t>
  </si>
  <si>
    <t>Hombres</t>
  </si>
  <si>
    <t>Mujeres</t>
  </si>
  <si>
    <t>Departamento</t>
  </si>
  <si>
    <t>total</t>
  </si>
  <si>
    <t>Proporcion candidatos hombres</t>
  </si>
  <si>
    <t>Proporcion candidatos mujeres</t>
  </si>
  <si>
    <t>Total Candidatos</t>
  </si>
  <si>
    <t>Porcentaje admitidos</t>
  </si>
  <si>
    <t>Total Admitidos</t>
  </si>
  <si>
    <t>Total</t>
  </si>
  <si>
    <t>% Admitidos Hombres</t>
  </si>
  <si>
    <t>% Admitidos Mujeres</t>
  </si>
  <si>
    <t>Fuente de los datos</t>
  </si>
  <si>
    <t xml:space="preserve">https://es.wikipedia.org/wiki/Paradoja_de_Simpson#Discriminaci%C3%B3n_por_g%C3%A9nero_en_Berkeley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</si>
</sst>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165" fontId="0" fillId="0" borderId="0" xfId="0" applyNumberFormat="1"/>
    <xf numFmtId="164" fontId="0" fillId="0" borderId="0" xfId="0" applyNumberFormat="1"/>
    <xf numFmtId="9" fontId="0" fillId="0" borderId="0" xfId="2" applyFont="1"/>
    <xf numFmtId="0" fontId="4" fillId="2" borderId="1" xfId="0" applyFont="1" applyFill="1" applyBorder="1" applyAlignment="1">
      <alignment horizontal="center"/>
    </xf>
    <xf numFmtId="165" fontId="0" fillId="0" borderId="1" xfId="1" applyNumberFormat="1" applyFont="1" applyBorder="1"/>
    <xf numFmtId="9" fontId="0" fillId="0" borderId="1" xfId="0" applyNumberFormat="1" applyBorder="1"/>
    <xf numFmtId="165" fontId="4" fillId="2" borderId="1" xfId="1" applyNumberFormat="1" applyFont="1" applyFill="1" applyBorder="1"/>
    <xf numFmtId="9" fontId="4" fillId="2" borderId="1" xfId="2" applyFont="1" applyFill="1" applyBorder="1"/>
    <xf numFmtId="0" fontId="4" fillId="2" borderId="1" xfId="0" applyFont="1" applyFill="1" applyBorder="1"/>
    <xf numFmtId="9" fontId="2" fillId="0" borderId="1" xfId="0" applyNumberFormat="1" applyFont="1" applyBorder="1"/>
    <xf numFmtId="165" fontId="3" fillId="3" borderId="1" xfId="1" applyNumberFormat="1" applyFont="1" applyFill="1" applyBorder="1"/>
    <xf numFmtId="9" fontId="5" fillId="3" borderId="1" xfId="0" applyNumberFormat="1" applyFont="1" applyFill="1" applyBorder="1"/>
    <xf numFmtId="9" fontId="3" fillId="3" borderId="1" xfId="0" applyNumberFormat="1" applyFont="1" applyFill="1" applyBorder="1"/>
    <xf numFmtId="0" fontId="6" fillId="0" borderId="0" xfId="3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4" fillId="2" borderId="3" xfId="1" applyNumberFormat="1" applyFont="1" applyFill="1" applyBorder="1" applyAlignment="1">
      <alignment horizontal="center"/>
    </xf>
    <xf numFmtId="165" fontId="4" fillId="2" borderId="4" xfId="1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9" fontId="0" fillId="0" borderId="1" xfId="2" applyFont="1" applyBorder="1"/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Candidatos por departamento y genero. Tamaño del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completos'!$I$8</c:f>
              <c:strCache>
                <c:ptCount val="1"/>
                <c:pt idx="0">
                  <c:v>Proporcion candidatos 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completos'!$I$9:$I$15</c:f>
              <c:numCache>
                <c:formatCode>0%</c:formatCode>
                <c:ptCount val="7"/>
                <c:pt idx="1">
                  <c:v>0.88424437299035374</c:v>
                </c:pt>
                <c:pt idx="2">
                  <c:v>0.95726495726495731</c:v>
                </c:pt>
                <c:pt idx="3">
                  <c:v>0.3540305010893246</c:v>
                </c:pt>
                <c:pt idx="4">
                  <c:v>0.52651515151515149</c:v>
                </c:pt>
                <c:pt idx="5">
                  <c:v>0.32705479452054792</c:v>
                </c:pt>
                <c:pt idx="6">
                  <c:v>0.44371941272430671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5-4D65-B5CE-F7F3B510A459}"/>
            </c:ext>
          </c:extLst>
        </c:ser>
        <c:ser>
          <c:idx val="1"/>
          <c:order val="1"/>
          <c:tx>
            <c:strRef>
              <c:f>'datos completos'!$J$8</c:f>
              <c:strCache>
                <c:ptCount val="1"/>
                <c:pt idx="0">
                  <c:v>Proporcion candidatos 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completos'!$J$9:$J$15</c:f>
              <c:numCache>
                <c:formatCode>0%</c:formatCode>
                <c:ptCount val="7"/>
                <c:pt idx="1">
                  <c:v>0.1157556270096463</c:v>
                </c:pt>
                <c:pt idx="2">
                  <c:v>4.2735042735042736E-2</c:v>
                </c:pt>
                <c:pt idx="3">
                  <c:v>0.64596949891067534</c:v>
                </c:pt>
                <c:pt idx="4">
                  <c:v>0.47348484848484851</c:v>
                </c:pt>
                <c:pt idx="5">
                  <c:v>0.67294520547945202</c:v>
                </c:pt>
                <c:pt idx="6">
                  <c:v>0.55628058727569329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5-4D65-B5CE-F7F3B510A4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696624"/>
        <c:axId val="43692048"/>
      </c:barChart>
      <c:lineChart>
        <c:grouping val="standard"/>
        <c:varyColors val="0"/>
        <c:ser>
          <c:idx val="2"/>
          <c:order val="2"/>
          <c:tx>
            <c:strRef>
              <c:f>'datos completos'!$K$8</c:f>
              <c:strCache>
                <c:ptCount val="1"/>
                <c:pt idx="0">
                  <c:v>Total Admitidos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completos'!$K$9:$K$15</c:f>
              <c:numCache>
                <c:formatCode>_(* #,##0_);_(* \(#,##0\);_(* "-"??_);_(@_)</c:formatCode>
                <c:ptCount val="7"/>
                <c:pt idx="1">
                  <c:v>600.05999999999995</c:v>
                </c:pt>
                <c:pt idx="2">
                  <c:v>369.8</c:v>
                </c:pt>
                <c:pt idx="3">
                  <c:v>321.87</c:v>
                </c:pt>
                <c:pt idx="4">
                  <c:v>268.86</c:v>
                </c:pt>
                <c:pt idx="5">
                  <c:v>147.80000000000001</c:v>
                </c:pt>
                <c:pt idx="6">
                  <c:v>40.19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5-4D65-B5CE-F7F3B510A4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682480"/>
        <c:axId val="43685808"/>
      </c:lineChart>
      <c:catAx>
        <c:axId val="43696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2048"/>
        <c:crosses val="autoZero"/>
        <c:auto val="1"/>
        <c:lblAlgn val="ctr"/>
        <c:lblOffset val="100"/>
        <c:noMultiLvlLbl val="0"/>
      </c:catAx>
      <c:valAx>
        <c:axId val="436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6624"/>
        <c:crosses val="autoZero"/>
        <c:crossBetween val="between"/>
      </c:valAx>
      <c:valAx>
        <c:axId val="436858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2480"/>
        <c:crosses val="max"/>
        <c:crossBetween val="between"/>
      </c:valAx>
      <c:catAx>
        <c:axId val="43682480"/>
        <c:scaling>
          <c:orientation val="minMax"/>
        </c:scaling>
        <c:delete val="1"/>
        <c:axPos val="b"/>
        <c:majorTickMark val="out"/>
        <c:minorTickMark val="none"/>
        <c:tickLblPos val="nextTo"/>
        <c:crossAx val="4368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% Admitidos por departamento y genero. Tamaño del departamento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completos'!$E$8</c:f>
              <c:strCache>
                <c:ptCount val="1"/>
                <c:pt idx="0">
                  <c:v>% Admitidos 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completos'!$E$9:$E$15</c:f>
              <c:numCache>
                <c:formatCode>0%</c:formatCode>
                <c:ptCount val="7"/>
                <c:pt idx="1">
                  <c:v>0.62</c:v>
                </c:pt>
                <c:pt idx="2">
                  <c:v>0.63</c:v>
                </c:pt>
                <c:pt idx="3">
                  <c:v>0.37</c:v>
                </c:pt>
                <c:pt idx="4">
                  <c:v>0.33</c:v>
                </c:pt>
                <c:pt idx="5">
                  <c:v>0.28000000000000003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3-46FC-B8AB-CDCC47CAD7D3}"/>
            </c:ext>
          </c:extLst>
        </c:ser>
        <c:ser>
          <c:idx val="1"/>
          <c:order val="1"/>
          <c:tx>
            <c:strRef>
              <c:f>'datos completos'!$H$8</c:f>
              <c:strCache>
                <c:ptCount val="1"/>
                <c:pt idx="0">
                  <c:v>% Admitidos 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completos'!$H$9:$H$15</c:f>
              <c:numCache>
                <c:formatCode>0%</c:formatCode>
                <c:ptCount val="7"/>
                <c:pt idx="1">
                  <c:v>0.82</c:v>
                </c:pt>
                <c:pt idx="2">
                  <c:v>0.68</c:v>
                </c:pt>
                <c:pt idx="3">
                  <c:v>0.34</c:v>
                </c:pt>
                <c:pt idx="4">
                  <c:v>0.35</c:v>
                </c:pt>
                <c:pt idx="5">
                  <c:v>0.24</c:v>
                </c:pt>
                <c:pt idx="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3-46FC-B8AB-CDCC47CAD7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090400"/>
        <c:axId val="37087488"/>
      </c:barChart>
      <c:lineChart>
        <c:grouping val="standard"/>
        <c:varyColors val="0"/>
        <c:ser>
          <c:idx val="2"/>
          <c:order val="2"/>
          <c:tx>
            <c:strRef>
              <c:f>'datos completos'!$K$8</c:f>
              <c:strCache>
                <c:ptCount val="1"/>
                <c:pt idx="0">
                  <c:v>Total Admitidos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completos'!$K$9:$K$15</c:f>
              <c:numCache>
                <c:formatCode>_(* #,##0_);_(* \(#,##0\);_(* "-"??_);_(@_)</c:formatCode>
                <c:ptCount val="7"/>
                <c:pt idx="1">
                  <c:v>600.05999999999995</c:v>
                </c:pt>
                <c:pt idx="2">
                  <c:v>369.8</c:v>
                </c:pt>
                <c:pt idx="3">
                  <c:v>321.87</c:v>
                </c:pt>
                <c:pt idx="4">
                  <c:v>268.86</c:v>
                </c:pt>
                <c:pt idx="5">
                  <c:v>147.80000000000001</c:v>
                </c:pt>
                <c:pt idx="6">
                  <c:v>40.19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3-46FC-B8AB-CDCC47CAD7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93728"/>
        <c:axId val="37092480"/>
      </c:lineChart>
      <c:catAx>
        <c:axId val="3709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7488"/>
        <c:crosses val="autoZero"/>
        <c:auto val="1"/>
        <c:lblAlgn val="ctr"/>
        <c:lblOffset val="100"/>
        <c:noMultiLvlLbl val="0"/>
      </c:catAx>
      <c:valAx>
        <c:axId val="370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0400"/>
        <c:crosses val="autoZero"/>
        <c:crossBetween val="between"/>
      </c:valAx>
      <c:valAx>
        <c:axId val="37092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3728"/>
        <c:crosses val="max"/>
        <c:crossBetween val="between"/>
      </c:valAx>
      <c:catAx>
        <c:axId val="37093728"/>
        <c:scaling>
          <c:orientation val="minMax"/>
        </c:scaling>
        <c:delete val="1"/>
        <c:axPos val="b"/>
        <c:majorTickMark val="out"/>
        <c:minorTickMark val="none"/>
        <c:tickLblPos val="nextTo"/>
        <c:crossAx val="37092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completos'!$I$8</c:f>
              <c:strCache>
                <c:ptCount val="1"/>
                <c:pt idx="0">
                  <c:v>Proporcion candidatos 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9E-46D0-9397-ED8C3E175F9B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9E-46D0-9397-ED8C3E175F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completos'!$I$9:$I$15</c:f>
              <c:numCache>
                <c:formatCode>0%</c:formatCode>
                <c:ptCount val="7"/>
                <c:pt idx="1">
                  <c:v>0.88424437299035374</c:v>
                </c:pt>
                <c:pt idx="2">
                  <c:v>0.95726495726495731</c:v>
                </c:pt>
                <c:pt idx="3">
                  <c:v>0.3540305010893246</c:v>
                </c:pt>
                <c:pt idx="4">
                  <c:v>0.52651515151515149</c:v>
                </c:pt>
                <c:pt idx="5">
                  <c:v>0.32705479452054792</c:v>
                </c:pt>
                <c:pt idx="6">
                  <c:v>0.44371941272430671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6D0-9397-ED8C3E175F9B}"/>
            </c:ext>
          </c:extLst>
        </c:ser>
        <c:ser>
          <c:idx val="1"/>
          <c:order val="1"/>
          <c:tx>
            <c:strRef>
              <c:f>'datos completos'!$J$8</c:f>
              <c:strCache>
                <c:ptCount val="1"/>
                <c:pt idx="0">
                  <c:v>Proporcion candidatos mujeres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9E-46D0-9397-ED8C3E175F9B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E9E-46D0-9397-ED8C3E175F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completos'!$J$9:$J$15</c:f>
              <c:numCache>
                <c:formatCode>0%</c:formatCode>
                <c:ptCount val="7"/>
                <c:pt idx="1">
                  <c:v>0.1157556270096463</c:v>
                </c:pt>
                <c:pt idx="2">
                  <c:v>4.2735042735042736E-2</c:v>
                </c:pt>
                <c:pt idx="3">
                  <c:v>0.64596949891067534</c:v>
                </c:pt>
                <c:pt idx="4">
                  <c:v>0.47348484848484851</c:v>
                </c:pt>
                <c:pt idx="5">
                  <c:v>0.67294520547945202</c:v>
                </c:pt>
                <c:pt idx="6">
                  <c:v>0.55628058727569329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E-46D0-9397-ED8C3E175F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704944"/>
        <c:axId val="43705360"/>
      </c:barChart>
      <c:lineChart>
        <c:grouping val="standard"/>
        <c:varyColors val="0"/>
        <c:ser>
          <c:idx val="3"/>
          <c:order val="3"/>
          <c:tx>
            <c:strRef>
              <c:f>'datos completos'!$M$8</c:f>
              <c:strCache>
                <c:ptCount val="1"/>
                <c:pt idx="0">
                  <c:v>Porcentaje admitidos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completos'!$M$9:$M$15</c:f>
              <c:numCache>
                <c:formatCode>0%</c:formatCode>
                <c:ptCount val="7"/>
                <c:pt idx="1">
                  <c:v>0.6431511254019292</c:v>
                </c:pt>
                <c:pt idx="2">
                  <c:v>0.63213675213675213</c:v>
                </c:pt>
                <c:pt idx="3">
                  <c:v>0.35062091503267973</c:v>
                </c:pt>
                <c:pt idx="4">
                  <c:v>0.33946969696969698</c:v>
                </c:pt>
                <c:pt idx="5">
                  <c:v>0.25308219178082192</c:v>
                </c:pt>
                <c:pt idx="6">
                  <c:v>6.5562805872756924E-2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9E-46D0-9397-ED8C3E175F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704944"/>
        <c:axId val="43705360"/>
      </c:lineChart>
      <c:lineChart>
        <c:grouping val="standard"/>
        <c:varyColors val="0"/>
        <c:ser>
          <c:idx val="2"/>
          <c:order val="2"/>
          <c:tx>
            <c:strRef>
              <c:f>'datos completos'!$K$8</c:f>
              <c:strCache>
                <c:ptCount val="1"/>
                <c:pt idx="0">
                  <c:v>Total Admitidos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'datos completos'!$K$9:$K$15</c:f>
              <c:numCache>
                <c:formatCode>_(* #,##0_);_(* \(#,##0\);_(* "-"??_);_(@_)</c:formatCode>
                <c:ptCount val="7"/>
                <c:pt idx="1">
                  <c:v>600.05999999999995</c:v>
                </c:pt>
                <c:pt idx="2">
                  <c:v>369.8</c:v>
                </c:pt>
                <c:pt idx="3">
                  <c:v>321.87</c:v>
                </c:pt>
                <c:pt idx="4">
                  <c:v>268.86</c:v>
                </c:pt>
                <c:pt idx="5">
                  <c:v>147.80000000000001</c:v>
                </c:pt>
                <c:pt idx="6">
                  <c:v>40.19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9E-46D0-9397-ED8C3E175F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677488"/>
        <c:axId val="43677072"/>
      </c:lineChart>
      <c:catAx>
        <c:axId val="43704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5360"/>
        <c:crosses val="autoZero"/>
        <c:auto val="1"/>
        <c:lblAlgn val="ctr"/>
        <c:lblOffset val="100"/>
        <c:noMultiLvlLbl val="0"/>
      </c:catAx>
      <c:valAx>
        <c:axId val="437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4944"/>
        <c:crosses val="autoZero"/>
        <c:crossBetween val="between"/>
      </c:valAx>
      <c:valAx>
        <c:axId val="436770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488"/>
        <c:crosses val="max"/>
        <c:crossBetween val="between"/>
      </c:valAx>
      <c:catAx>
        <c:axId val="43677488"/>
        <c:scaling>
          <c:orientation val="minMax"/>
        </c:scaling>
        <c:delete val="1"/>
        <c:axPos val="b"/>
        <c:majorTickMark val="out"/>
        <c:minorTickMark val="none"/>
        <c:tickLblPos val="nextTo"/>
        <c:crossAx val="43677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9CD420-FD9C-4424-BD34-6C70744643F3}">
  <sheetPr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486775" y="3114675"/>
    <xdr:ext cx="9288843" cy="606136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788BF-AA63-40D7-A197-ED765B8DAC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0</xdr:colOff>
      <xdr:row>16</xdr:row>
      <xdr:rowOff>128586</xdr:rowOff>
    </xdr:from>
    <xdr:to>
      <xdr:col>8</xdr:col>
      <xdr:colOff>1352550</xdr:colOff>
      <xdr:row>48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099D80-6FB4-43A0-9338-394EDD86B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FEF8C-51FD-4DF6-AAEA-D8904C1077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wikipedia.org/wiki/Paradoja_de_Simps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wikipedia.org/wiki/Paradoja_de_Simp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2935-0431-485E-A408-E07E249D54F2}">
  <dimension ref="B1:M18"/>
  <sheetViews>
    <sheetView tabSelected="1" workbookViewId="0">
      <selection activeCell="E11" sqref="E11"/>
    </sheetView>
  </sheetViews>
  <sheetFormatPr defaultColWidth="9.1328125" defaultRowHeight="14.25" x14ac:dyDescent="0.45"/>
  <cols>
    <col min="2" max="2" width="15.3984375" customWidth="1"/>
    <col min="3" max="3" width="10.86328125" bestFit="1" customWidth="1"/>
    <col min="4" max="4" width="10.86328125" customWidth="1"/>
    <col min="5" max="5" width="14.1328125" customWidth="1"/>
    <col min="6" max="6" width="18.59765625" bestFit="1" customWidth="1"/>
    <col min="7" max="7" width="12.265625" customWidth="1"/>
    <col min="8" max="8" width="12.86328125" customWidth="1"/>
    <col min="9" max="9" width="21" customWidth="1"/>
    <col min="10" max="10" width="19.1328125" customWidth="1"/>
    <col min="11" max="11" width="13.265625" customWidth="1"/>
    <col min="12" max="12" width="14.3984375" customWidth="1"/>
    <col min="13" max="13" width="12.265625" customWidth="1"/>
  </cols>
  <sheetData>
    <row r="1" spans="2:13" x14ac:dyDescent="0.45">
      <c r="F1" t="s">
        <v>15</v>
      </c>
      <c r="G1" s="14" t="s">
        <v>16</v>
      </c>
    </row>
    <row r="2" spans="2:13" x14ac:dyDescent="0.45">
      <c r="C2" s="4" t="s">
        <v>3</v>
      </c>
      <c r="D2" s="4" t="s">
        <v>4</v>
      </c>
      <c r="E2" s="4" t="s">
        <v>12</v>
      </c>
    </row>
    <row r="3" spans="2:13" x14ac:dyDescent="0.45">
      <c r="B3" s="9" t="s">
        <v>0</v>
      </c>
      <c r="C3" s="7"/>
      <c r="D3" s="7"/>
      <c r="E3" s="7"/>
    </row>
    <row r="4" spans="2:13" x14ac:dyDescent="0.45">
      <c r="B4" s="9" t="s">
        <v>1</v>
      </c>
      <c r="C4" s="7"/>
      <c r="D4" s="7"/>
      <c r="E4" s="7"/>
    </row>
    <row r="5" spans="2:13" x14ac:dyDescent="0.45">
      <c r="B5" s="9" t="s">
        <v>2</v>
      </c>
      <c r="C5" s="8"/>
      <c r="D5" s="8"/>
      <c r="E5" s="8"/>
    </row>
    <row r="6" spans="2:13" x14ac:dyDescent="0.45">
      <c r="C6" s="2"/>
      <c r="E6" s="2"/>
    </row>
    <row r="7" spans="2:13" x14ac:dyDescent="0.45">
      <c r="C7" s="15" t="s">
        <v>3</v>
      </c>
      <c r="D7" s="15"/>
      <c r="E7" s="15"/>
      <c r="F7" s="15" t="s">
        <v>4</v>
      </c>
      <c r="G7" s="15"/>
      <c r="H7" s="15"/>
    </row>
    <row r="8" spans="2:13" ht="15" customHeight="1" x14ac:dyDescent="0.45">
      <c r="B8" s="16" t="s">
        <v>5</v>
      </c>
      <c r="C8" s="18" t="s">
        <v>0</v>
      </c>
      <c r="D8" s="19" t="s">
        <v>1</v>
      </c>
      <c r="E8" s="18" t="s">
        <v>13</v>
      </c>
      <c r="F8" s="21" t="s">
        <v>0</v>
      </c>
      <c r="G8" s="19" t="s">
        <v>1</v>
      </c>
      <c r="H8" s="23" t="s">
        <v>14</v>
      </c>
      <c r="I8" s="25" t="s">
        <v>7</v>
      </c>
      <c r="J8" s="25" t="s">
        <v>8</v>
      </c>
      <c r="K8" s="25" t="s">
        <v>11</v>
      </c>
      <c r="L8" s="25" t="s">
        <v>9</v>
      </c>
      <c r="M8" s="25" t="s">
        <v>10</v>
      </c>
    </row>
    <row r="9" spans="2:13" x14ac:dyDescent="0.45">
      <c r="B9" s="17"/>
      <c r="C9" s="17"/>
      <c r="D9" s="20"/>
      <c r="E9" s="17"/>
      <c r="F9" s="22"/>
      <c r="G9" s="20"/>
      <c r="H9" s="24"/>
      <c r="I9" s="25"/>
      <c r="J9" s="25"/>
      <c r="K9" s="25"/>
      <c r="L9" s="25"/>
      <c r="M9" s="25"/>
    </row>
    <row r="10" spans="2:13" x14ac:dyDescent="0.45">
      <c r="B10" s="4">
        <v>1</v>
      </c>
      <c r="C10" s="5">
        <v>825</v>
      </c>
      <c r="D10" s="5">
        <f>C10*E10</f>
        <v>511.5</v>
      </c>
      <c r="E10" s="6">
        <v>0.62</v>
      </c>
      <c r="F10" s="5">
        <v>108</v>
      </c>
      <c r="G10" s="5">
        <f>F10*H10</f>
        <v>88.559999999999988</v>
      </c>
      <c r="H10" s="6">
        <v>0.82</v>
      </c>
      <c r="I10" s="6"/>
      <c r="J10" s="6"/>
      <c r="K10" s="5"/>
      <c r="L10" s="5"/>
      <c r="M10" s="6"/>
    </row>
    <row r="11" spans="2:13" x14ac:dyDescent="0.45">
      <c r="B11" s="4">
        <v>2</v>
      </c>
      <c r="C11" s="5">
        <v>560</v>
      </c>
      <c r="D11" s="5">
        <f t="shared" ref="D11:D15" si="0">C11*E11</f>
        <v>352.8</v>
      </c>
      <c r="E11" s="6">
        <v>0.63</v>
      </c>
      <c r="F11" s="5">
        <v>25</v>
      </c>
      <c r="G11" s="5">
        <f t="shared" ref="G11:G15" si="1">F11*H11</f>
        <v>17</v>
      </c>
      <c r="H11" s="6">
        <v>0.68</v>
      </c>
      <c r="I11" s="6"/>
      <c r="J11" s="6"/>
      <c r="K11" s="5"/>
      <c r="L11" s="5"/>
      <c r="M11" s="6"/>
    </row>
    <row r="12" spans="2:13" x14ac:dyDescent="0.45">
      <c r="B12" s="4">
        <v>3</v>
      </c>
      <c r="C12" s="5">
        <v>325</v>
      </c>
      <c r="D12" s="5">
        <f t="shared" si="0"/>
        <v>120.25</v>
      </c>
      <c r="E12" s="6">
        <v>0.37</v>
      </c>
      <c r="F12" s="5">
        <v>593</v>
      </c>
      <c r="G12" s="5">
        <f t="shared" si="1"/>
        <v>201.62</v>
      </c>
      <c r="H12" s="6">
        <v>0.34</v>
      </c>
      <c r="I12" s="6"/>
      <c r="J12" s="6"/>
      <c r="K12" s="5"/>
      <c r="L12" s="5"/>
      <c r="M12" s="6"/>
    </row>
    <row r="13" spans="2:13" x14ac:dyDescent="0.45">
      <c r="B13" s="4">
        <v>4</v>
      </c>
      <c r="C13" s="5">
        <v>417</v>
      </c>
      <c r="D13" s="5">
        <f t="shared" si="0"/>
        <v>137.61000000000001</v>
      </c>
      <c r="E13" s="6">
        <v>0.33</v>
      </c>
      <c r="F13" s="5">
        <v>375</v>
      </c>
      <c r="G13" s="5">
        <f t="shared" si="1"/>
        <v>131.25</v>
      </c>
      <c r="H13" s="6">
        <v>0.35</v>
      </c>
      <c r="I13" s="6"/>
      <c r="J13" s="6"/>
      <c r="K13" s="5"/>
      <c r="L13" s="5"/>
      <c r="M13" s="6"/>
    </row>
    <row r="14" spans="2:13" x14ac:dyDescent="0.45">
      <c r="B14" s="4">
        <v>5</v>
      </c>
      <c r="C14" s="5">
        <v>191</v>
      </c>
      <c r="D14" s="5">
        <f t="shared" si="0"/>
        <v>53.480000000000004</v>
      </c>
      <c r="E14" s="6">
        <v>0.28000000000000003</v>
      </c>
      <c r="F14" s="5">
        <v>393</v>
      </c>
      <c r="G14" s="5">
        <f t="shared" si="1"/>
        <v>94.32</v>
      </c>
      <c r="H14" s="6">
        <v>0.24</v>
      </c>
      <c r="I14" s="6"/>
      <c r="J14" s="6"/>
      <c r="K14" s="5"/>
      <c r="L14" s="5"/>
      <c r="M14" s="6"/>
    </row>
    <row r="15" spans="2:13" x14ac:dyDescent="0.45">
      <c r="B15" s="4">
        <v>6</v>
      </c>
      <c r="C15" s="5">
        <v>272</v>
      </c>
      <c r="D15" s="5">
        <f t="shared" si="0"/>
        <v>16.32</v>
      </c>
      <c r="E15" s="6">
        <v>0.06</v>
      </c>
      <c r="F15" s="5">
        <v>341</v>
      </c>
      <c r="G15" s="5">
        <f t="shared" si="1"/>
        <v>23.87</v>
      </c>
      <c r="H15" s="6">
        <v>7.0000000000000007E-2</v>
      </c>
      <c r="I15" s="6"/>
      <c r="J15" s="6"/>
      <c r="K15" s="5"/>
      <c r="L15" s="5"/>
      <c r="M15" s="6"/>
    </row>
    <row r="16" spans="2:13" x14ac:dyDescent="0.45">
      <c r="B16" s="4" t="s">
        <v>6</v>
      </c>
      <c r="C16" s="5">
        <f>SUM(C10:C15)</f>
        <v>2590</v>
      </c>
      <c r="D16" s="5">
        <f>SUM(D10:D15)</f>
        <v>1191.9599999999998</v>
      </c>
      <c r="E16" s="26">
        <f>D16/C16</f>
        <v>0.46021621621621617</v>
      </c>
      <c r="F16" s="5">
        <f t="shared" ref="D16:H16" si="2">SUM(F10:F15)</f>
        <v>1835</v>
      </c>
      <c r="G16" s="5">
        <f t="shared" si="2"/>
        <v>556.62</v>
      </c>
      <c r="H16" s="26">
        <f>G16/F16</f>
        <v>0.3033351498637602</v>
      </c>
      <c r="I16" s="13"/>
      <c r="J16" s="13"/>
      <c r="K16" s="11"/>
      <c r="L16" s="11"/>
      <c r="M16" s="13"/>
    </row>
    <row r="18" spans="10:10" x14ac:dyDescent="0.45">
      <c r="J18" s="5"/>
    </row>
  </sheetData>
  <mergeCells count="14">
    <mergeCell ref="I8:I9"/>
    <mergeCell ref="J8:J9"/>
    <mergeCell ref="K8:K9"/>
    <mergeCell ref="L8:L9"/>
    <mergeCell ref="M8:M9"/>
    <mergeCell ref="C7:E7"/>
    <mergeCell ref="F7:H7"/>
    <mergeCell ref="B8:B9"/>
    <mergeCell ref="C8:C9"/>
    <mergeCell ref="D8:D9"/>
    <mergeCell ref="E8:E9"/>
    <mergeCell ref="F8:F9"/>
    <mergeCell ref="G8:G9"/>
    <mergeCell ref="H8:H9"/>
  </mergeCells>
  <hyperlinks>
    <hyperlink ref="G1" r:id="rId1" location="Discriminaci%C3%B3n_por_g%C3%A9nero_en_Berkeley " xr:uid="{64FF5766-5BA8-4F10-900A-C272CA2F8B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3ED1-47A5-40A0-A189-8FFE8733C0A1}">
  <dimension ref="B1:M16"/>
  <sheetViews>
    <sheetView workbookViewId="0">
      <selection activeCell="F3" sqref="F3"/>
    </sheetView>
  </sheetViews>
  <sheetFormatPr defaultColWidth="9.1328125" defaultRowHeight="14.25" x14ac:dyDescent="0.45"/>
  <cols>
    <col min="2" max="2" width="15.3984375" customWidth="1"/>
    <col min="3" max="3" width="10.86328125" bestFit="1" customWidth="1"/>
    <col min="4" max="4" width="10.86328125" customWidth="1"/>
    <col min="5" max="5" width="14.1328125" customWidth="1"/>
    <col min="6" max="6" width="18.59765625" bestFit="1" customWidth="1"/>
    <col min="7" max="7" width="12.265625" customWidth="1"/>
    <col min="8" max="8" width="12.86328125" customWidth="1"/>
    <col min="9" max="9" width="21" customWidth="1"/>
    <col min="10" max="10" width="19.1328125" customWidth="1"/>
    <col min="11" max="11" width="13.265625" customWidth="1"/>
    <col min="12" max="12" width="14.3984375" customWidth="1"/>
    <col min="13" max="13" width="12.265625" customWidth="1"/>
  </cols>
  <sheetData>
    <row r="1" spans="2:13" x14ac:dyDescent="0.45">
      <c r="F1" t="s">
        <v>15</v>
      </c>
      <c r="G1" s="14" t="s">
        <v>16</v>
      </c>
    </row>
    <row r="2" spans="2:13" x14ac:dyDescent="0.45">
      <c r="C2" s="4" t="s">
        <v>3</v>
      </c>
      <c r="D2" s="4" t="s">
        <v>4</v>
      </c>
      <c r="E2" s="4" t="s">
        <v>12</v>
      </c>
    </row>
    <row r="3" spans="2:13" x14ac:dyDescent="0.45">
      <c r="B3" s="9" t="s">
        <v>0</v>
      </c>
      <c r="C3" s="7">
        <f>+C16</f>
        <v>2590</v>
      </c>
      <c r="D3" s="7">
        <v>1835</v>
      </c>
      <c r="E3" s="7">
        <f>+D3++C3</f>
        <v>4425</v>
      </c>
    </row>
    <row r="4" spans="2:13" x14ac:dyDescent="0.45">
      <c r="B4" s="9" t="s">
        <v>1</v>
      </c>
      <c r="C4" s="7">
        <f>+D16</f>
        <v>1191.9599999999998</v>
      </c>
      <c r="D4" s="7">
        <f>+G16</f>
        <v>556.62</v>
      </c>
      <c r="E4" s="7">
        <f>+D4++C4</f>
        <v>1748.58</v>
      </c>
    </row>
    <row r="5" spans="2:13" x14ac:dyDescent="0.45">
      <c r="B5" s="9" t="s">
        <v>2</v>
      </c>
      <c r="C5" s="8">
        <f>+C4/C3</f>
        <v>0.46021621621621617</v>
      </c>
      <c r="D5" s="8">
        <f>+D4/D3</f>
        <v>0.3033351498637602</v>
      </c>
      <c r="E5" s="8">
        <f>+E4/E3</f>
        <v>0.39515932203389831</v>
      </c>
    </row>
    <row r="6" spans="2:13" x14ac:dyDescent="0.45">
      <c r="C6" s="2"/>
      <c r="E6" s="2"/>
    </row>
    <row r="7" spans="2:13" x14ac:dyDescent="0.45">
      <c r="C7" s="15" t="s">
        <v>3</v>
      </c>
      <c r="D7" s="15"/>
      <c r="E7" s="15"/>
      <c r="F7" s="15" t="s">
        <v>4</v>
      </c>
      <c r="G7" s="15"/>
      <c r="H7" s="15"/>
    </row>
    <row r="8" spans="2:13" ht="15" customHeight="1" x14ac:dyDescent="0.45">
      <c r="B8" s="16" t="s">
        <v>5</v>
      </c>
      <c r="C8" s="18" t="s">
        <v>0</v>
      </c>
      <c r="D8" s="19" t="s">
        <v>1</v>
      </c>
      <c r="E8" s="18" t="s">
        <v>13</v>
      </c>
      <c r="F8" s="21" t="s">
        <v>0</v>
      </c>
      <c r="G8" s="19" t="s">
        <v>1</v>
      </c>
      <c r="H8" s="23" t="s">
        <v>14</v>
      </c>
      <c r="I8" s="25" t="s">
        <v>7</v>
      </c>
      <c r="J8" s="25" t="s">
        <v>8</v>
      </c>
      <c r="K8" s="25" t="s">
        <v>11</v>
      </c>
      <c r="L8" s="25" t="s">
        <v>9</v>
      </c>
      <c r="M8" s="25" t="s">
        <v>10</v>
      </c>
    </row>
    <row r="9" spans="2:13" x14ac:dyDescent="0.45">
      <c r="B9" s="17"/>
      <c r="C9" s="17"/>
      <c r="D9" s="20"/>
      <c r="E9" s="17"/>
      <c r="F9" s="22"/>
      <c r="G9" s="20"/>
      <c r="H9" s="24"/>
      <c r="I9" s="25"/>
      <c r="J9" s="25"/>
      <c r="K9" s="25"/>
      <c r="L9" s="25"/>
      <c r="M9" s="25"/>
    </row>
    <row r="10" spans="2:13" x14ac:dyDescent="0.45">
      <c r="B10" s="4">
        <v>1</v>
      </c>
      <c r="C10" s="5">
        <v>825</v>
      </c>
      <c r="D10" s="5">
        <f>+C10*E10</f>
        <v>511.5</v>
      </c>
      <c r="E10" s="6">
        <v>0.62</v>
      </c>
      <c r="F10" s="5">
        <v>108</v>
      </c>
      <c r="G10" s="5">
        <f>+F10*H10</f>
        <v>88.559999999999988</v>
      </c>
      <c r="H10" s="10">
        <v>0.82</v>
      </c>
      <c r="I10" s="3">
        <f>+C10/(C10+F10)</f>
        <v>0.88424437299035374</v>
      </c>
      <c r="J10" s="3">
        <f>+F10/(C10+F10)</f>
        <v>0.1157556270096463</v>
      </c>
      <c r="K10" s="1">
        <f>+G10+D10</f>
        <v>600.05999999999995</v>
      </c>
      <c r="L10" s="1">
        <f>+C10+F10</f>
        <v>933</v>
      </c>
      <c r="M10" s="3">
        <f>+K10/L10</f>
        <v>0.6431511254019292</v>
      </c>
    </row>
    <row r="11" spans="2:13" x14ac:dyDescent="0.45">
      <c r="B11" s="4">
        <v>2</v>
      </c>
      <c r="C11" s="5">
        <v>560</v>
      </c>
      <c r="D11" s="5">
        <f t="shared" ref="D11:D15" si="0">+C11*E11</f>
        <v>352.8</v>
      </c>
      <c r="E11" s="6">
        <v>0.63</v>
      </c>
      <c r="F11" s="5">
        <v>25</v>
      </c>
      <c r="G11" s="5">
        <f t="shared" ref="G11:G15" si="1">+F11*H11</f>
        <v>17</v>
      </c>
      <c r="H11" s="10">
        <v>0.68</v>
      </c>
      <c r="I11" s="3">
        <f t="shared" ref="I11:I16" si="2">+C11/(C11+F11)</f>
        <v>0.95726495726495731</v>
      </c>
      <c r="J11" s="3">
        <f t="shared" ref="J11:J16" si="3">+F11/(C11+F11)</f>
        <v>4.2735042735042736E-2</v>
      </c>
      <c r="K11" s="1">
        <f t="shared" ref="K11:K16" si="4">+G11+D11</f>
        <v>369.8</v>
      </c>
      <c r="L11" s="1">
        <f t="shared" ref="L11:L16" si="5">+C11+F11</f>
        <v>585</v>
      </c>
      <c r="M11" s="3">
        <f t="shared" ref="M11:M15" si="6">+K11/L11</f>
        <v>0.63213675213675213</v>
      </c>
    </row>
    <row r="12" spans="2:13" x14ac:dyDescent="0.45">
      <c r="B12" s="4">
        <v>3</v>
      </c>
      <c r="C12" s="5">
        <v>325</v>
      </c>
      <c r="D12" s="5">
        <f t="shared" si="0"/>
        <v>120.25</v>
      </c>
      <c r="E12" s="10">
        <v>0.37</v>
      </c>
      <c r="F12" s="5">
        <v>593</v>
      </c>
      <c r="G12" s="5">
        <f t="shared" si="1"/>
        <v>201.62</v>
      </c>
      <c r="H12" s="6">
        <v>0.34</v>
      </c>
      <c r="I12" s="3">
        <f t="shared" si="2"/>
        <v>0.3540305010893246</v>
      </c>
      <c r="J12" s="3">
        <f t="shared" si="3"/>
        <v>0.64596949891067534</v>
      </c>
      <c r="K12" s="1">
        <f t="shared" si="4"/>
        <v>321.87</v>
      </c>
      <c r="L12" s="1">
        <f t="shared" si="5"/>
        <v>918</v>
      </c>
      <c r="M12" s="3">
        <f t="shared" si="6"/>
        <v>0.35062091503267973</v>
      </c>
    </row>
    <row r="13" spans="2:13" x14ac:dyDescent="0.45">
      <c r="B13" s="4">
        <v>4</v>
      </c>
      <c r="C13" s="5">
        <v>417</v>
      </c>
      <c r="D13" s="5">
        <f t="shared" si="0"/>
        <v>137.61000000000001</v>
      </c>
      <c r="E13" s="6">
        <v>0.33</v>
      </c>
      <c r="F13" s="5">
        <v>375</v>
      </c>
      <c r="G13" s="5">
        <f t="shared" si="1"/>
        <v>131.25</v>
      </c>
      <c r="H13" s="10">
        <v>0.35</v>
      </c>
      <c r="I13" s="3">
        <f t="shared" si="2"/>
        <v>0.52651515151515149</v>
      </c>
      <c r="J13" s="3">
        <f t="shared" si="3"/>
        <v>0.47348484848484851</v>
      </c>
      <c r="K13" s="1">
        <f t="shared" si="4"/>
        <v>268.86</v>
      </c>
      <c r="L13" s="1">
        <f t="shared" si="5"/>
        <v>792</v>
      </c>
      <c r="M13" s="3">
        <f t="shared" si="6"/>
        <v>0.33946969696969698</v>
      </c>
    </row>
    <row r="14" spans="2:13" x14ac:dyDescent="0.45">
      <c r="B14" s="4">
        <v>5</v>
      </c>
      <c r="C14" s="5">
        <v>191</v>
      </c>
      <c r="D14" s="5">
        <f t="shared" si="0"/>
        <v>53.480000000000004</v>
      </c>
      <c r="E14" s="10">
        <v>0.28000000000000003</v>
      </c>
      <c r="F14" s="5">
        <v>393</v>
      </c>
      <c r="G14" s="5">
        <f t="shared" si="1"/>
        <v>94.32</v>
      </c>
      <c r="H14" s="6">
        <v>0.24</v>
      </c>
      <c r="I14" s="3">
        <f t="shared" si="2"/>
        <v>0.32705479452054792</v>
      </c>
      <c r="J14" s="3">
        <f t="shared" si="3"/>
        <v>0.67294520547945202</v>
      </c>
      <c r="K14" s="1">
        <f t="shared" si="4"/>
        <v>147.80000000000001</v>
      </c>
      <c r="L14" s="1">
        <f t="shared" si="5"/>
        <v>584</v>
      </c>
      <c r="M14" s="3">
        <f t="shared" si="6"/>
        <v>0.25308219178082192</v>
      </c>
    </row>
    <row r="15" spans="2:13" x14ac:dyDescent="0.45">
      <c r="B15" s="4">
        <v>6</v>
      </c>
      <c r="C15" s="5">
        <v>272</v>
      </c>
      <c r="D15" s="5">
        <f t="shared" si="0"/>
        <v>16.32</v>
      </c>
      <c r="E15" s="6">
        <v>0.06</v>
      </c>
      <c r="F15" s="5">
        <v>341</v>
      </c>
      <c r="G15" s="5">
        <f t="shared" si="1"/>
        <v>23.87</v>
      </c>
      <c r="H15" s="10">
        <v>7.0000000000000007E-2</v>
      </c>
      <c r="I15" s="3">
        <f t="shared" si="2"/>
        <v>0.44371941272430671</v>
      </c>
      <c r="J15" s="3">
        <f t="shared" si="3"/>
        <v>0.55628058727569329</v>
      </c>
      <c r="K15" s="1">
        <f t="shared" si="4"/>
        <v>40.19</v>
      </c>
      <c r="L15" s="1">
        <f t="shared" si="5"/>
        <v>613</v>
      </c>
      <c r="M15" s="3">
        <f t="shared" si="6"/>
        <v>6.5562805872756924E-2</v>
      </c>
    </row>
    <row r="16" spans="2:13" x14ac:dyDescent="0.45">
      <c r="B16" s="4" t="s">
        <v>6</v>
      </c>
      <c r="C16" s="11">
        <f>SUM(C10:C15)</f>
        <v>2590</v>
      </c>
      <c r="D16" s="11">
        <f>SUM(D10:D15)</f>
        <v>1191.9599999999998</v>
      </c>
      <c r="E16" s="12">
        <f>+D16/C16</f>
        <v>0.46021621621621617</v>
      </c>
      <c r="F16" s="11">
        <f>SUM(F10:F15)</f>
        <v>1835</v>
      </c>
      <c r="G16" s="11">
        <f>SUM(G10:G15)</f>
        <v>556.62</v>
      </c>
      <c r="H16" s="13">
        <f>+G16/F16</f>
        <v>0.3033351498637602</v>
      </c>
      <c r="I16" s="13">
        <f t="shared" si="2"/>
        <v>0.58531073446327686</v>
      </c>
      <c r="J16" s="13">
        <f t="shared" si="3"/>
        <v>0.41468926553672314</v>
      </c>
      <c r="K16" s="11">
        <f t="shared" si="4"/>
        <v>1748.58</v>
      </c>
      <c r="L16" s="11">
        <f t="shared" si="5"/>
        <v>4425</v>
      </c>
      <c r="M16" s="13">
        <f>+K16/L16</f>
        <v>0.39515932203389831</v>
      </c>
    </row>
  </sheetData>
  <mergeCells count="14">
    <mergeCell ref="C7:E7"/>
    <mergeCell ref="F7:H7"/>
    <mergeCell ref="I8:I9"/>
    <mergeCell ref="J8:J9"/>
    <mergeCell ref="B8:B9"/>
    <mergeCell ref="K8:K9"/>
    <mergeCell ref="L8:L9"/>
    <mergeCell ref="M8:M9"/>
    <mergeCell ref="C8:C9"/>
    <mergeCell ref="D8:D9"/>
    <mergeCell ref="E8:E9"/>
    <mergeCell ref="F8:F9"/>
    <mergeCell ref="G8:G9"/>
    <mergeCell ref="H8:H9"/>
  </mergeCells>
  <conditionalFormatting sqref="I10:I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K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L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:M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" r:id="rId1" location="Discriminaci%C3%B3n_por_g%C3%A9nero_en_Berkeley " xr:uid="{686A55CC-D6D4-49E4-B464-7E2499AAADBA}"/>
  </hyperlinks>
  <pageMargins left="0.7" right="0.7" top="0.75" bottom="0.75" header="0.3" footer="0.3"/>
  <ignoredErrors>
    <ignoredError sqref="E16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688439-DE58-43F4-A033-59196E9EC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datos sin rellenar</vt:lpstr>
      <vt:lpstr>datos completos</vt:lpstr>
      <vt:lpstr>combo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2022-03-18T11:12:44Z</dcterms:created>
  <dcterms:modified xsi:type="dcterms:W3CDTF">2024-10-10T12:21:26Z</dcterms:modified>
</cp:coreProperties>
</file>