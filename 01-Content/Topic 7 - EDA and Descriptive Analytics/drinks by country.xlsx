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https://cunefedu-my.sharepoint.com/personal/abel_guada_cunef_edu/Documents/Teaching/2024-25/2024-25 - 1er-C - BUTI - 1ro ADE-D/Topic 6 - EDA and Descriptive Analytics/"/>
    </mc:Choice>
  </mc:AlternateContent>
  <xr:revisionPtr revIDLastSave="7" documentId="13_ncr:1_{ADD4F714-8628-47E2-A279-2DA25DA06BEC}" xr6:coauthVersionLast="47" xr6:coauthVersionMax="47" xr10:uidLastSave="{58672480-1BA5-405E-8380-DD991CD4EA6B}"/>
  <bookViews>
    <workbookView xWindow="-98" yWindow="-98" windowWidth="21795" windowHeight="12975" xr2:uid="{00000000-000D-0000-FFFF-FFFF00000000}"/>
  </bookViews>
  <sheets>
    <sheet name="Sheet1 (2)" sheetId="2" r:id="rId1"/>
  </sheets>
  <definedNames>
    <definedName name="_xlchart.v5.0" hidden="1">'Sheet1 (2)'!$A$1:$B$1</definedName>
    <definedName name="_xlchart.v5.1" hidden="1">'Sheet1 (2)'!$A$2:$B$181</definedName>
    <definedName name="_xlchart.v5.10" hidden="1">'Sheet1 (2)'!$A$1:$B$1</definedName>
    <definedName name="_xlchart.v5.11" hidden="1">'Sheet1 (2)'!$A$2:$B$181</definedName>
    <definedName name="_xlchart.v5.12" hidden="1">'Sheet1 (2)'!$C$1</definedName>
    <definedName name="_xlchart.v5.13" hidden="1">'Sheet1 (2)'!$C$2:$C$181</definedName>
    <definedName name="_xlchart.v5.14" hidden="1">'Sheet1 (2)'!$D$1</definedName>
    <definedName name="_xlchart.v5.15" hidden="1">'Sheet1 (2)'!$D$2:$D$181</definedName>
    <definedName name="_xlchart.v5.16" hidden="1">'Sheet1 (2)'!$E$1</definedName>
    <definedName name="_xlchart.v5.17" hidden="1">'Sheet1 (2)'!$E$2:$E$181</definedName>
    <definedName name="_xlchart.v5.18" hidden="1">'Sheet1 (2)'!$F$1</definedName>
    <definedName name="_xlchart.v5.19" hidden="1">'Sheet1 (2)'!$F$2:$F$181</definedName>
    <definedName name="_xlchart.v5.2" hidden="1">'Sheet1 (2)'!$C$1</definedName>
    <definedName name="_xlchart.v5.20" hidden="1">'Sheet1 (2)'!$A$1:$B$1</definedName>
    <definedName name="_xlchart.v5.21" hidden="1">'Sheet1 (2)'!$A$2:$B$181</definedName>
    <definedName name="_xlchart.v5.22" hidden="1">'Sheet1 (2)'!$C$1</definedName>
    <definedName name="_xlchart.v5.23" hidden="1">'Sheet1 (2)'!$C$2:$C$181</definedName>
    <definedName name="_xlchart.v5.24" hidden="1">'Sheet1 (2)'!$D$1</definedName>
    <definedName name="_xlchart.v5.25" hidden="1">'Sheet1 (2)'!$D$2:$D$181</definedName>
    <definedName name="_xlchart.v5.26" hidden="1">'Sheet1 (2)'!$E$1</definedName>
    <definedName name="_xlchart.v5.27" hidden="1">'Sheet1 (2)'!$E$2:$E$181</definedName>
    <definedName name="_xlchart.v5.28" hidden="1">'Sheet1 (2)'!$F$1</definedName>
    <definedName name="_xlchart.v5.29" hidden="1">'Sheet1 (2)'!$F$2:$F$181</definedName>
    <definedName name="_xlchart.v5.3" hidden="1">'Sheet1 (2)'!$C$2:$C$181</definedName>
    <definedName name="_xlchart.v5.30" hidden="1">'Sheet1 (2)'!$A$1:$B$1</definedName>
    <definedName name="_xlchart.v5.31" hidden="1">'Sheet1 (2)'!$A$2:$B$181</definedName>
    <definedName name="_xlchart.v5.32" hidden="1">'Sheet1 (2)'!$C$1</definedName>
    <definedName name="_xlchart.v5.33" hidden="1">'Sheet1 (2)'!$C$2:$C$181</definedName>
    <definedName name="_xlchart.v5.34" hidden="1">'Sheet1 (2)'!$D$1</definedName>
    <definedName name="_xlchart.v5.35" hidden="1">'Sheet1 (2)'!$D$2:$D$181</definedName>
    <definedName name="_xlchart.v5.36" hidden="1">'Sheet1 (2)'!$E$1</definedName>
    <definedName name="_xlchart.v5.37" hidden="1">'Sheet1 (2)'!$E$2:$E$181</definedName>
    <definedName name="_xlchart.v5.38" hidden="1">'Sheet1 (2)'!$F$1</definedName>
    <definedName name="_xlchart.v5.39" hidden="1">'Sheet1 (2)'!$F$2:$F$181</definedName>
    <definedName name="_xlchart.v5.4" hidden="1">'Sheet1 (2)'!$D$1</definedName>
    <definedName name="_xlchart.v5.5" hidden="1">'Sheet1 (2)'!$D$2:$D$181</definedName>
    <definedName name="_xlchart.v5.6" hidden="1">'Sheet1 (2)'!$E$1</definedName>
    <definedName name="_xlchart.v5.7" hidden="1">'Sheet1 (2)'!$E$2:$E$181</definedName>
    <definedName name="_xlchart.v5.8" hidden="1">'Sheet1 (2)'!$F$1</definedName>
    <definedName name="_xlchart.v5.9" hidden="1">'Sheet1 (2)'!$F$2:$F$181</definedName>
    <definedName name="_xlcn.WorksheetConnection_Tabla11" hidden="1">Tabla1</definedName>
    <definedName name="_xlcn.WorksheetConnection_Tabla131" hidden="1">Tabla13[]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a1" name="Tabla1" connection="WorksheetConnection_Tabla1"/>
          <x15:modelTable id="Tabla13" name="Tabla13" connection="WorksheetConnection_Tabla13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81" i="2" l="1"/>
  <c r="F180" i="2"/>
  <c r="F179" i="2"/>
  <c r="F178" i="2"/>
  <c r="F177" i="2"/>
  <c r="F176" i="2"/>
  <c r="F175" i="2"/>
  <c r="F174" i="2"/>
  <c r="F173" i="2"/>
  <c r="F172" i="2"/>
  <c r="F171" i="2"/>
  <c r="F170" i="2"/>
  <c r="F169" i="2"/>
  <c r="F168" i="2"/>
  <c r="F167" i="2"/>
  <c r="F166" i="2"/>
  <c r="F165" i="2"/>
  <c r="F164" i="2"/>
  <c r="F163" i="2"/>
  <c r="F162" i="2"/>
  <c r="F161" i="2"/>
  <c r="F160" i="2"/>
  <c r="F159" i="2"/>
  <c r="F158" i="2"/>
  <c r="F157" i="2"/>
  <c r="F156" i="2"/>
  <c r="F155" i="2"/>
  <c r="F154" i="2"/>
  <c r="F153" i="2"/>
  <c r="F152" i="2"/>
  <c r="F151" i="2"/>
  <c r="F150" i="2"/>
  <c r="F149" i="2"/>
  <c r="F148" i="2"/>
  <c r="F147" i="2"/>
  <c r="F146" i="2"/>
  <c r="F145" i="2"/>
  <c r="F144" i="2"/>
  <c r="F143" i="2"/>
  <c r="F142" i="2"/>
  <c r="F141" i="2"/>
  <c r="F140" i="2"/>
  <c r="F139" i="2"/>
  <c r="F138" i="2"/>
  <c r="F137" i="2"/>
  <c r="F136" i="2"/>
  <c r="F135" i="2"/>
  <c r="F134" i="2"/>
  <c r="F133" i="2"/>
  <c r="F132" i="2"/>
  <c r="F131" i="2"/>
  <c r="F130" i="2"/>
  <c r="F129" i="2"/>
  <c r="F128" i="2"/>
  <c r="F127" i="2"/>
  <c r="F126" i="2"/>
  <c r="F125" i="2"/>
  <c r="F124" i="2"/>
  <c r="F123" i="2"/>
  <c r="F122" i="2"/>
  <c r="F121" i="2"/>
  <c r="F120" i="2"/>
  <c r="F119" i="2"/>
  <c r="F118" i="2"/>
  <c r="F117" i="2"/>
  <c r="F116" i="2"/>
  <c r="F115" i="2"/>
  <c r="F114" i="2"/>
  <c r="F113" i="2"/>
  <c r="F112" i="2"/>
  <c r="F111" i="2"/>
  <c r="F110" i="2"/>
  <c r="F109" i="2"/>
  <c r="F108" i="2"/>
  <c r="F107" i="2"/>
  <c r="F106" i="2"/>
  <c r="F105" i="2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9F8F294-6273-44D8-AEBD-6946ED1FF1F6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3F5CBB9B-02BA-42A8-9715-056DD8A00923}" name="WorksheetConnection_Tabla1" type="102" refreshedVersion="8" minRefreshableVersion="5">
    <extLst>
      <ext xmlns:x15="http://schemas.microsoft.com/office/spreadsheetml/2010/11/main" uri="{DE250136-89BD-433C-8126-D09CA5730AF9}">
        <x15:connection id="Tabla1">
          <x15:rangePr sourceName="_xlcn.WorksheetConnection_Tabla11"/>
        </x15:connection>
      </ext>
    </extLst>
  </connection>
  <connection id="3" xr16:uid="{759AB412-9458-4265-B0A3-0EE519A97BB0}" name="WorksheetConnection_Tabla13" type="102" refreshedVersion="8" minRefreshableVersion="5">
    <extLst>
      <ext xmlns:x15="http://schemas.microsoft.com/office/spreadsheetml/2010/11/main" uri="{DE250136-89BD-433C-8126-D09CA5730AF9}">
        <x15:connection id="Tabla13">
          <x15:rangePr sourceName="_xlcn.WorksheetConnection_Tabla131"/>
        </x15:connection>
      </ext>
    </extLst>
  </connection>
</connections>
</file>

<file path=xl/sharedStrings.xml><?xml version="1.0" encoding="utf-8"?>
<sst xmlns="http://schemas.openxmlformats.org/spreadsheetml/2006/main" count="366" uniqueCount="192">
  <si>
    <t>continent</t>
  </si>
  <si>
    <t>country</t>
  </si>
  <si>
    <t>beer_servings</t>
  </si>
  <si>
    <t>spirit_servings</t>
  </si>
  <si>
    <t>wine_servings</t>
  </si>
  <si>
    <t>total_litres_of_pure_alcohol</t>
  </si>
  <si>
    <t>Africa</t>
  </si>
  <si>
    <t>Nigeria</t>
  </si>
  <si>
    <t>Gabon</t>
  </si>
  <si>
    <t>Uganda</t>
  </si>
  <si>
    <t>South Africa</t>
  </si>
  <si>
    <t>Namibia</t>
  </si>
  <si>
    <t>Rwanda</t>
  </si>
  <si>
    <t>Sierra Leone</t>
  </si>
  <si>
    <t>Burundi</t>
  </si>
  <si>
    <t>Angola</t>
  </si>
  <si>
    <t>Cameroon</t>
  </si>
  <si>
    <t>Equatorial Guinea</t>
  </si>
  <si>
    <t>Tanzania</t>
  </si>
  <si>
    <t>Botswana</t>
  </si>
  <si>
    <t>Swaziland</t>
  </si>
  <si>
    <t>Zimbabwe</t>
  </si>
  <si>
    <t>Burkina Faso</t>
  </si>
  <si>
    <t>Sao Tome &amp; Principe</t>
  </si>
  <si>
    <t>Seychelles</t>
  </si>
  <si>
    <t>Cote d'Ivoire</t>
  </si>
  <si>
    <t>Cabo Verde</t>
  </si>
  <si>
    <t>Liberia</t>
  </si>
  <si>
    <t>Lesotho</t>
  </si>
  <si>
    <t>Mauritius</t>
  </si>
  <si>
    <t>Guinea-Bissau</t>
  </si>
  <si>
    <t>Zambia</t>
  </si>
  <si>
    <t>Gambia</t>
  </si>
  <si>
    <t>DR Congo</t>
  </si>
  <si>
    <t>Central African Republic</t>
  </si>
  <si>
    <t>Ghana</t>
  </si>
  <si>
    <t>Kenya</t>
  </si>
  <si>
    <t>Congo</t>
  </si>
  <si>
    <t>Sudan</t>
  </si>
  <si>
    <t>Malawi</t>
  </si>
  <si>
    <t>Mozambique</t>
  </si>
  <si>
    <t>Togo</t>
  </si>
  <si>
    <t>Tunisia</t>
  </si>
  <si>
    <t>Benin</t>
  </si>
  <si>
    <t>Djibouti</t>
  </si>
  <si>
    <t>Madagascar</t>
  </si>
  <si>
    <t>Algeria</t>
  </si>
  <si>
    <t>Ethiopia</t>
  </si>
  <si>
    <t>Mali</t>
  </si>
  <si>
    <t>Eritrea</t>
  </si>
  <si>
    <t>Morocco</t>
  </si>
  <si>
    <t>Chad</t>
  </si>
  <si>
    <t>Senegal</t>
  </si>
  <si>
    <t>Egypt</t>
  </si>
  <si>
    <t>Guinea</t>
  </si>
  <si>
    <t>Comoros</t>
  </si>
  <si>
    <t>Niger</t>
  </si>
  <si>
    <t>Asia</t>
  </si>
  <si>
    <t>Russian Federation</t>
  </si>
  <si>
    <t>South Korea</t>
  </si>
  <si>
    <t>Japan</t>
  </si>
  <si>
    <t>Kazakhstan</t>
  </si>
  <si>
    <t>Thailand</t>
  </si>
  <si>
    <t>Laos</t>
  </si>
  <si>
    <t>China</t>
  </si>
  <si>
    <t>Mongolia</t>
  </si>
  <si>
    <t>Philippines</t>
  </si>
  <si>
    <t>United Arab Emirates</t>
  </si>
  <si>
    <t>Israel</t>
  </si>
  <si>
    <t>Kyrgyzstan</t>
  </si>
  <si>
    <t>Uzbekistan</t>
  </si>
  <si>
    <t>Cambodia</t>
  </si>
  <si>
    <t>India</t>
  </si>
  <si>
    <t>Sri Lanka</t>
  </si>
  <si>
    <t>Turkmenistan</t>
  </si>
  <si>
    <t>Bahrain</t>
  </si>
  <si>
    <t>Vietnam</t>
  </si>
  <si>
    <t>Lebanon</t>
  </si>
  <si>
    <t>Singapore</t>
  </si>
  <si>
    <t>Turkey</t>
  </si>
  <si>
    <t>Syria</t>
  </si>
  <si>
    <t>Qatar</t>
  </si>
  <si>
    <t>Oman</t>
  </si>
  <si>
    <t>Brunei</t>
  </si>
  <si>
    <t>Jordan</t>
  </si>
  <si>
    <t>Bhutan</t>
  </si>
  <si>
    <t>Malaysia</t>
  </si>
  <si>
    <t>Tajikistan</t>
  </si>
  <si>
    <t>Iraq</t>
  </si>
  <si>
    <t>Nepal</t>
  </si>
  <si>
    <t>Indonesia</t>
  </si>
  <si>
    <t>Myanmar</t>
  </si>
  <si>
    <t>Saudi Arabia</t>
  </si>
  <si>
    <t>Timor-Leste</t>
  </si>
  <si>
    <t>Yemen</t>
  </si>
  <si>
    <t>Europe</t>
  </si>
  <si>
    <t>Belarus</t>
  </si>
  <si>
    <t>Lithuania</t>
  </si>
  <si>
    <t>Andorra</t>
  </si>
  <si>
    <t>Czech Republic</t>
  </si>
  <si>
    <t>France</t>
  </si>
  <si>
    <t>Ireland</t>
  </si>
  <si>
    <t>Luxembourg</t>
  </si>
  <si>
    <t>Slovakia</t>
  </si>
  <si>
    <t>Germany</t>
  </si>
  <si>
    <t>Hungary</t>
  </si>
  <si>
    <t>Portugal</t>
  </si>
  <si>
    <t>Poland</t>
  </si>
  <si>
    <t>Slovenia</t>
  </si>
  <si>
    <t>Belgium</t>
  </si>
  <si>
    <t>Latvia</t>
  </si>
  <si>
    <t>Denmark</t>
  </si>
  <si>
    <t>Romania</t>
  </si>
  <si>
    <t>United Kingdom</t>
  </si>
  <si>
    <t>Bulgaria</t>
  </si>
  <si>
    <t>Croatia</t>
  </si>
  <si>
    <t>Switzerland</t>
  </si>
  <si>
    <t>Finland</t>
  </si>
  <si>
    <t>Spain</t>
  </si>
  <si>
    <t>Austria</t>
  </si>
  <si>
    <t>Serbia</t>
  </si>
  <si>
    <t>Estonia</t>
  </si>
  <si>
    <t>Netherlands</t>
  </si>
  <si>
    <t>Ukraine</t>
  </si>
  <si>
    <t>Greece</t>
  </si>
  <si>
    <t>Cyprus</t>
  </si>
  <si>
    <t>Sweden</t>
  </si>
  <si>
    <t>Norway</t>
  </si>
  <si>
    <t>Iceland</t>
  </si>
  <si>
    <t>Malta</t>
  </si>
  <si>
    <t>Italy</t>
  </si>
  <si>
    <t>Moldova</t>
  </si>
  <si>
    <t>Georgia</t>
  </si>
  <si>
    <t>Albania</t>
  </si>
  <si>
    <t>Montenegro</t>
  </si>
  <si>
    <t>Bosnia-Herzegovina</t>
  </si>
  <si>
    <t>Macedonia</t>
  </si>
  <si>
    <t>Armenia</t>
  </si>
  <si>
    <t>Azerbaijan</t>
  </si>
  <si>
    <t>North America</t>
  </si>
  <si>
    <t>Grenada</t>
  </si>
  <si>
    <t>St. Lucia</t>
  </si>
  <si>
    <t>USA</t>
  </si>
  <si>
    <t>Canada</t>
  </si>
  <si>
    <t>St. Kitts &amp; Nevis</t>
  </si>
  <si>
    <t>Panama</t>
  </si>
  <si>
    <t>Belize</t>
  </si>
  <si>
    <t>Dominica</t>
  </si>
  <si>
    <t>Trinidad &amp; Tobago</t>
  </si>
  <si>
    <t>Bahamas</t>
  </si>
  <si>
    <t>Barbados</t>
  </si>
  <si>
    <t>St. Vincent &amp; the Grenadines</t>
  </si>
  <si>
    <t>Dominican Republic</t>
  </si>
  <si>
    <t>Haiti</t>
  </si>
  <si>
    <t>Mexico</t>
  </si>
  <si>
    <t>Antigua &amp; Barbuda</t>
  </si>
  <si>
    <t>Costa Rica</t>
  </si>
  <si>
    <t>Cuba</t>
  </si>
  <si>
    <t>Nicaragua</t>
  </si>
  <si>
    <t>Jamaica</t>
  </si>
  <si>
    <t>Honduras</t>
  </si>
  <si>
    <t>El Salvador</t>
  </si>
  <si>
    <t>Guatemala</t>
  </si>
  <si>
    <t>Oceania</t>
  </si>
  <si>
    <t>Australia</t>
  </si>
  <si>
    <t>New Zealand</t>
  </si>
  <si>
    <t>Niue</t>
  </si>
  <si>
    <t>Palau</t>
  </si>
  <si>
    <t>Cook Islands</t>
  </si>
  <si>
    <t>Samoa</t>
  </si>
  <si>
    <t>Micronesia</t>
  </si>
  <si>
    <t>Fiji</t>
  </si>
  <si>
    <t>Papua New Guinea</t>
  </si>
  <si>
    <t>Solomon Islands</t>
  </si>
  <si>
    <t>Tonga</t>
  </si>
  <si>
    <t>Kiribati</t>
  </si>
  <si>
    <t>Nauru</t>
  </si>
  <si>
    <t>Tuvalu</t>
  </si>
  <si>
    <t>Vanuatu</t>
  </si>
  <si>
    <t>South America</t>
  </si>
  <si>
    <t>Argentina</t>
  </si>
  <si>
    <t>Venezuela</t>
  </si>
  <si>
    <t>Chile</t>
  </si>
  <si>
    <t>Paraguay</t>
  </si>
  <si>
    <t>Brazil</t>
  </si>
  <si>
    <t>Guyana</t>
  </si>
  <si>
    <t>Uruguay</t>
  </si>
  <si>
    <t>Peru</t>
  </si>
  <si>
    <t>Suriname</t>
  </si>
  <si>
    <t>Colombia</t>
  </si>
  <si>
    <t>Ecuador</t>
  </si>
  <si>
    <t>Bolivia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</si>
</sst>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4"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29591A0-CBAC-444A-A1BA-3264CAB2AE53}" name="Tabla13" displayName="Tabla13" ref="A1:F181" totalsRowShown="0">
  <autoFilter ref="A1:F181" xr:uid="{DBA6D559-3B43-4F8C-96F7-5C84B0A199B8}"/>
  <tableColumns count="6">
    <tableColumn id="1" xr3:uid="{A1579A1D-4291-4525-BF4B-52EA5C83BB4C}" name="continent"/>
    <tableColumn id="2" xr3:uid="{E0D6BBFD-D09B-4296-B27F-63961DAD49A4}" name="country"/>
    <tableColumn id="3" xr3:uid="{10C08020-35C6-49BE-B108-C050914C21AD}" name="beer_servings" dataDxfId="3"/>
    <tableColumn id="4" xr3:uid="{890159BE-3F7F-404D-AD62-EC557E6DFADF}" name="spirit_servings" dataDxfId="2"/>
    <tableColumn id="5" xr3:uid="{421AC05D-91F9-408F-9AFB-B4EEA81F357B}" name="wine_servings" dataDxfId="1"/>
    <tableColumn id="6" xr3:uid="{0471A87F-F0BC-44B9-BCFA-C01081D2814A}" name="total_litres_of_pure_alcohol" dataDxfId="0">
      <calculatedColumnFormula>+Tabla13[[#This Row],[beer_servings]]+5*Tabla13[[#This Row],[spirit_servings]]+Tabla13[[#This Row],[wine_servings]]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B0934-66FB-4A51-9BD5-5CFF7ED93F58}">
  <dimension ref="A1:F181"/>
  <sheetViews>
    <sheetView tabSelected="1" workbookViewId="0">
      <selection sqref="A1:F1048576"/>
    </sheetView>
  </sheetViews>
  <sheetFormatPr defaultColWidth="9.1328125" defaultRowHeight="14.25" x14ac:dyDescent="0.45"/>
  <cols>
    <col min="1" max="1" width="13.86328125" bestFit="1" customWidth="1"/>
    <col min="2" max="2" width="26.86328125" bestFit="1" customWidth="1"/>
    <col min="3" max="3" width="15.59765625" customWidth="1"/>
    <col min="4" max="4" width="16" customWidth="1"/>
    <col min="5" max="5" width="15.86328125" customWidth="1"/>
    <col min="6" max="6" width="28.265625" customWidth="1"/>
  </cols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5">
      <c r="A2" t="s">
        <v>6</v>
      </c>
      <c r="B2" t="s">
        <v>7</v>
      </c>
      <c r="C2" s="1">
        <v>42</v>
      </c>
      <c r="D2" s="1">
        <v>5</v>
      </c>
      <c r="E2" s="1">
        <v>2</v>
      </c>
      <c r="F2" s="1">
        <f>+Tabla13[[#This Row],[beer_servings]]+5*Tabla13[[#This Row],[spirit_servings]]+Tabla13[[#This Row],[wine_servings]]</f>
        <v>69</v>
      </c>
    </row>
    <row r="3" spans="1:6" x14ac:dyDescent="0.45">
      <c r="A3" t="s">
        <v>6</v>
      </c>
      <c r="B3" t="s">
        <v>8</v>
      </c>
      <c r="C3" s="1">
        <v>347</v>
      </c>
      <c r="D3" s="1">
        <v>98</v>
      </c>
      <c r="E3" s="1">
        <v>59</v>
      </c>
      <c r="F3" s="1">
        <f>+Tabla13[[#This Row],[beer_servings]]+5*Tabla13[[#This Row],[spirit_servings]]+Tabla13[[#This Row],[wine_servings]]</f>
        <v>896</v>
      </c>
    </row>
    <row r="4" spans="1:6" x14ac:dyDescent="0.45">
      <c r="A4" t="s">
        <v>6</v>
      </c>
      <c r="B4" t="s">
        <v>9</v>
      </c>
      <c r="C4" s="1">
        <v>45</v>
      </c>
      <c r="D4" s="1">
        <v>9</v>
      </c>
      <c r="E4" s="1">
        <v>0</v>
      </c>
      <c r="F4" s="1">
        <f>+Tabla13[[#This Row],[beer_servings]]+5*Tabla13[[#This Row],[spirit_servings]]+Tabla13[[#This Row],[wine_servings]]</f>
        <v>90</v>
      </c>
    </row>
    <row r="5" spans="1:6" x14ac:dyDescent="0.45">
      <c r="A5" t="s">
        <v>6</v>
      </c>
      <c r="B5" t="s">
        <v>10</v>
      </c>
      <c r="C5" s="1">
        <v>225</v>
      </c>
      <c r="D5" s="1">
        <v>76</v>
      </c>
      <c r="E5" s="1">
        <v>81</v>
      </c>
      <c r="F5" s="1">
        <f>+Tabla13[[#This Row],[beer_servings]]+5*Tabla13[[#This Row],[spirit_servings]]+Tabla13[[#This Row],[wine_servings]]</f>
        <v>686</v>
      </c>
    </row>
    <row r="6" spans="1:6" x14ac:dyDescent="0.45">
      <c r="A6" t="s">
        <v>6</v>
      </c>
      <c r="B6" t="s">
        <v>11</v>
      </c>
      <c r="C6" s="1">
        <v>376</v>
      </c>
      <c r="D6" s="1">
        <v>3</v>
      </c>
      <c r="E6" s="1">
        <v>1</v>
      </c>
      <c r="F6" s="1">
        <f>+Tabla13[[#This Row],[beer_servings]]+5*Tabla13[[#This Row],[spirit_servings]]+Tabla13[[#This Row],[wine_servings]]</f>
        <v>392</v>
      </c>
    </row>
    <row r="7" spans="1:6" x14ac:dyDescent="0.45">
      <c r="A7" t="s">
        <v>6</v>
      </c>
      <c r="B7" t="s">
        <v>12</v>
      </c>
      <c r="C7" s="1">
        <v>43</v>
      </c>
      <c r="D7" s="1">
        <v>2</v>
      </c>
      <c r="E7" s="1">
        <v>0</v>
      </c>
      <c r="F7" s="1">
        <f>+Tabla13[[#This Row],[beer_servings]]+5*Tabla13[[#This Row],[spirit_servings]]+Tabla13[[#This Row],[wine_servings]]</f>
        <v>53</v>
      </c>
    </row>
    <row r="8" spans="1:6" x14ac:dyDescent="0.45">
      <c r="A8" t="s">
        <v>6</v>
      </c>
      <c r="B8" t="s">
        <v>13</v>
      </c>
      <c r="C8" s="1">
        <v>25</v>
      </c>
      <c r="D8" s="1">
        <v>3</v>
      </c>
      <c r="E8" s="1">
        <v>2</v>
      </c>
      <c r="F8" s="1">
        <f>+Tabla13[[#This Row],[beer_servings]]+5*Tabla13[[#This Row],[spirit_servings]]+Tabla13[[#This Row],[wine_servings]]</f>
        <v>42</v>
      </c>
    </row>
    <row r="9" spans="1:6" x14ac:dyDescent="0.45">
      <c r="A9" t="s">
        <v>6</v>
      </c>
      <c r="B9" t="s">
        <v>14</v>
      </c>
      <c r="C9" s="1">
        <v>88</v>
      </c>
      <c r="D9" s="1">
        <v>0</v>
      </c>
      <c r="E9" s="1">
        <v>0</v>
      </c>
      <c r="F9" s="1">
        <f>+Tabla13[[#This Row],[beer_servings]]+5*Tabla13[[#This Row],[spirit_servings]]+Tabla13[[#This Row],[wine_servings]]</f>
        <v>88</v>
      </c>
    </row>
    <row r="10" spans="1:6" x14ac:dyDescent="0.45">
      <c r="A10" t="s">
        <v>6</v>
      </c>
      <c r="B10" t="s">
        <v>15</v>
      </c>
      <c r="C10" s="1">
        <v>217</v>
      </c>
      <c r="D10" s="1">
        <v>57</v>
      </c>
      <c r="E10" s="1">
        <v>45</v>
      </c>
      <c r="F10" s="1">
        <f>+Tabla13[[#This Row],[beer_servings]]+5*Tabla13[[#This Row],[spirit_servings]]+Tabla13[[#This Row],[wine_servings]]</f>
        <v>547</v>
      </c>
    </row>
    <row r="11" spans="1:6" x14ac:dyDescent="0.45">
      <c r="A11" t="s">
        <v>6</v>
      </c>
      <c r="B11" t="s">
        <v>16</v>
      </c>
      <c r="C11" s="1">
        <v>147</v>
      </c>
      <c r="D11" s="1">
        <v>1</v>
      </c>
      <c r="E11" s="1">
        <v>4</v>
      </c>
      <c r="F11" s="1">
        <f>+Tabla13[[#This Row],[beer_servings]]+5*Tabla13[[#This Row],[spirit_servings]]+Tabla13[[#This Row],[wine_servings]]</f>
        <v>156</v>
      </c>
    </row>
    <row r="12" spans="1:6" x14ac:dyDescent="0.45">
      <c r="A12" t="s">
        <v>6</v>
      </c>
      <c r="B12" t="s">
        <v>17</v>
      </c>
      <c r="C12" s="1">
        <v>92</v>
      </c>
      <c r="D12" s="1">
        <v>0</v>
      </c>
      <c r="E12" s="1">
        <v>233</v>
      </c>
      <c r="F12" s="1">
        <f>+Tabla13[[#This Row],[beer_servings]]+5*Tabla13[[#This Row],[spirit_servings]]+Tabla13[[#This Row],[wine_servings]]</f>
        <v>325</v>
      </c>
    </row>
    <row r="13" spans="1:6" x14ac:dyDescent="0.45">
      <c r="A13" t="s">
        <v>6</v>
      </c>
      <c r="B13" t="s">
        <v>18</v>
      </c>
      <c r="C13" s="1">
        <v>36</v>
      </c>
      <c r="D13" s="1">
        <v>6</v>
      </c>
      <c r="E13" s="1">
        <v>1</v>
      </c>
      <c r="F13" s="1">
        <f>+Tabla13[[#This Row],[beer_servings]]+5*Tabla13[[#This Row],[spirit_servings]]+Tabla13[[#This Row],[wine_servings]]</f>
        <v>67</v>
      </c>
    </row>
    <row r="14" spans="1:6" x14ac:dyDescent="0.45">
      <c r="A14" t="s">
        <v>6</v>
      </c>
      <c r="B14" t="s">
        <v>19</v>
      </c>
      <c r="C14" s="1">
        <v>173</v>
      </c>
      <c r="D14" s="1">
        <v>35</v>
      </c>
      <c r="E14" s="1">
        <v>35</v>
      </c>
      <c r="F14" s="1">
        <f>+Tabla13[[#This Row],[beer_servings]]+5*Tabla13[[#This Row],[spirit_servings]]+Tabla13[[#This Row],[wine_servings]]</f>
        <v>383</v>
      </c>
    </row>
    <row r="15" spans="1:6" x14ac:dyDescent="0.45">
      <c r="A15" t="s">
        <v>6</v>
      </c>
      <c r="B15" t="s">
        <v>20</v>
      </c>
      <c r="C15" s="1">
        <v>90</v>
      </c>
      <c r="D15" s="1">
        <v>2</v>
      </c>
      <c r="E15" s="1">
        <v>2</v>
      </c>
      <c r="F15" s="1">
        <f>+Tabla13[[#This Row],[beer_servings]]+5*Tabla13[[#This Row],[spirit_servings]]+Tabla13[[#This Row],[wine_servings]]</f>
        <v>102</v>
      </c>
    </row>
    <row r="16" spans="1:6" x14ac:dyDescent="0.45">
      <c r="A16" t="s">
        <v>6</v>
      </c>
      <c r="B16" t="s">
        <v>21</v>
      </c>
      <c r="C16" s="1">
        <v>64</v>
      </c>
      <c r="D16" s="1">
        <v>18</v>
      </c>
      <c r="E16" s="1">
        <v>4</v>
      </c>
      <c r="F16" s="1">
        <f>+Tabla13[[#This Row],[beer_servings]]+5*Tabla13[[#This Row],[spirit_servings]]+Tabla13[[#This Row],[wine_servings]]</f>
        <v>158</v>
      </c>
    </row>
    <row r="17" spans="1:6" x14ac:dyDescent="0.45">
      <c r="A17" t="s">
        <v>6</v>
      </c>
      <c r="B17" t="s">
        <v>22</v>
      </c>
      <c r="C17" s="1">
        <v>25</v>
      </c>
      <c r="D17" s="1">
        <v>7</v>
      </c>
      <c r="E17" s="1">
        <v>7</v>
      </c>
      <c r="F17" s="1">
        <f>+Tabla13[[#This Row],[beer_servings]]+5*Tabla13[[#This Row],[spirit_servings]]+Tabla13[[#This Row],[wine_servings]]</f>
        <v>67</v>
      </c>
    </row>
    <row r="18" spans="1:6" x14ac:dyDescent="0.45">
      <c r="A18" t="s">
        <v>6</v>
      </c>
      <c r="B18" t="s">
        <v>23</v>
      </c>
      <c r="C18" s="1">
        <v>56</v>
      </c>
      <c r="D18" s="1">
        <v>38</v>
      </c>
      <c r="E18" s="1">
        <v>140</v>
      </c>
      <c r="F18" s="1">
        <f>+Tabla13[[#This Row],[beer_servings]]+5*Tabla13[[#This Row],[spirit_servings]]+Tabla13[[#This Row],[wine_servings]]</f>
        <v>386</v>
      </c>
    </row>
    <row r="19" spans="1:6" x14ac:dyDescent="0.45">
      <c r="A19" t="s">
        <v>6</v>
      </c>
      <c r="B19" t="s">
        <v>24</v>
      </c>
      <c r="C19" s="1">
        <v>157</v>
      </c>
      <c r="D19" s="1">
        <v>25</v>
      </c>
      <c r="E19" s="1">
        <v>51</v>
      </c>
      <c r="F19" s="1">
        <f>+Tabla13[[#This Row],[beer_servings]]+5*Tabla13[[#This Row],[spirit_servings]]+Tabla13[[#This Row],[wine_servings]]</f>
        <v>333</v>
      </c>
    </row>
    <row r="20" spans="1:6" x14ac:dyDescent="0.45">
      <c r="A20" t="s">
        <v>6</v>
      </c>
      <c r="B20" t="s">
        <v>25</v>
      </c>
      <c r="C20" s="1">
        <v>37</v>
      </c>
      <c r="D20" s="1">
        <v>1</v>
      </c>
      <c r="E20" s="1">
        <v>7</v>
      </c>
      <c r="F20" s="1">
        <f>+Tabla13[[#This Row],[beer_servings]]+5*Tabla13[[#This Row],[spirit_servings]]+Tabla13[[#This Row],[wine_servings]]</f>
        <v>49</v>
      </c>
    </row>
    <row r="21" spans="1:6" x14ac:dyDescent="0.45">
      <c r="A21" t="s">
        <v>6</v>
      </c>
      <c r="B21" t="s">
        <v>26</v>
      </c>
      <c r="C21" s="1">
        <v>144</v>
      </c>
      <c r="D21" s="1">
        <v>56</v>
      </c>
      <c r="E21" s="1">
        <v>16</v>
      </c>
      <c r="F21" s="1">
        <f>+Tabla13[[#This Row],[beer_servings]]+5*Tabla13[[#This Row],[spirit_servings]]+Tabla13[[#This Row],[wine_servings]]</f>
        <v>440</v>
      </c>
    </row>
    <row r="22" spans="1:6" x14ac:dyDescent="0.45">
      <c r="A22" t="s">
        <v>6</v>
      </c>
      <c r="B22" t="s">
        <v>27</v>
      </c>
      <c r="C22" s="1">
        <v>19</v>
      </c>
      <c r="D22" s="1">
        <v>152</v>
      </c>
      <c r="E22" s="1">
        <v>2</v>
      </c>
      <c r="F22" s="1">
        <f>+Tabla13[[#This Row],[beer_servings]]+5*Tabla13[[#This Row],[spirit_servings]]+Tabla13[[#This Row],[wine_servings]]</f>
        <v>781</v>
      </c>
    </row>
    <row r="23" spans="1:6" x14ac:dyDescent="0.45">
      <c r="A23" t="s">
        <v>6</v>
      </c>
      <c r="B23" t="s">
        <v>28</v>
      </c>
      <c r="C23" s="1">
        <v>82</v>
      </c>
      <c r="D23" s="1">
        <v>29</v>
      </c>
      <c r="E23" s="1">
        <v>0</v>
      </c>
      <c r="F23" s="1">
        <f>+Tabla13[[#This Row],[beer_servings]]+5*Tabla13[[#This Row],[spirit_servings]]+Tabla13[[#This Row],[wine_servings]]</f>
        <v>227</v>
      </c>
    </row>
    <row r="24" spans="1:6" x14ac:dyDescent="0.45">
      <c r="A24" t="s">
        <v>6</v>
      </c>
      <c r="B24" t="s">
        <v>29</v>
      </c>
      <c r="C24" s="1">
        <v>98</v>
      </c>
      <c r="D24" s="1">
        <v>31</v>
      </c>
      <c r="E24" s="1">
        <v>18</v>
      </c>
      <c r="F24" s="1">
        <f>+Tabla13[[#This Row],[beer_servings]]+5*Tabla13[[#This Row],[spirit_servings]]+Tabla13[[#This Row],[wine_servings]]</f>
        <v>271</v>
      </c>
    </row>
    <row r="25" spans="1:6" x14ac:dyDescent="0.45">
      <c r="A25" t="s">
        <v>6</v>
      </c>
      <c r="B25" t="s">
        <v>30</v>
      </c>
      <c r="C25" s="1">
        <v>28</v>
      </c>
      <c r="D25" s="1">
        <v>31</v>
      </c>
      <c r="E25" s="1">
        <v>21</v>
      </c>
      <c r="F25" s="1">
        <f>+Tabla13[[#This Row],[beer_servings]]+5*Tabla13[[#This Row],[spirit_servings]]+Tabla13[[#This Row],[wine_servings]]</f>
        <v>204</v>
      </c>
    </row>
    <row r="26" spans="1:6" x14ac:dyDescent="0.45">
      <c r="A26" t="s">
        <v>6</v>
      </c>
      <c r="B26" t="s">
        <v>31</v>
      </c>
      <c r="C26" s="1">
        <v>32</v>
      </c>
      <c r="D26" s="1">
        <v>19</v>
      </c>
      <c r="E26" s="1">
        <v>4</v>
      </c>
      <c r="F26" s="1">
        <f>+Tabla13[[#This Row],[beer_servings]]+5*Tabla13[[#This Row],[spirit_servings]]+Tabla13[[#This Row],[wine_servings]]</f>
        <v>131</v>
      </c>
    </row>
    <row r="27" spans="1:6" x14ac:dyDescent="0.45">
      <c r="A27" t="s">
        <v>6</v>
      </c>
      <c r="B27" t="s">
        <v>32</v>
      </c>
      <c r="C27" s="1">
        <v>8</v>
      </c>
      <c r="D27" s="1">
        <v>0</v>
      </c>
      <c r="E27" s="1">
        <v>1</v>
      </c>
      <c r="F27" s="1">
        <f>+Tabla13[[#This Row],[beer_servings]]+5*Tabla13[[#This Row],[spirit_servings]]+Tabla13[[#This Row],[wine_servings]]</f>
        <v>9</v>
      </c>
    </row>
    <row r="28" spans="1:6" x14ac:dyDescent="0.45">
      <c r="A28" t="s">
        <v>6</v>
      </c>
      <c r="B28" t="s">
        <v>33</v>
      </c>
      <c r="C28" s="1">
        <v>32</v>
      </c>
      <c r="D28" s="1">
        <v>3</v>
      </c>
      <c r="E28" s="1">
        <v>1</v>
      </c>
      <c r="F28" s="1">
        <f>+Tabla13[[#This Row],[beer_servings]]+5*Tabla13[[#This Row],[spirit_servings]]+Tabla13[[#This Row],[wine_servings]]</f>
        <v>48</v>
      </c>
    </row>
    <row r="29" spans="1:6" x14ac:dyDescent="0.45">
      <c r="A29" t="s">
        <v>6</v>
      </c>
      <c r="B29" t="s">
        <v>34</v>
      </c>
      <c r="C29" s="1">
        <v>17</v>
      </c>
      <c r="D29" s="1">
        <v>2</v>
      </c>
      <c r="E29" s="1">
        <v>1</v>
      </c>
      <c r="F29" s="1">
        <f>+Tabla13[[#This Row],[beer_servings]]+5*Tabla13[[#This Row],[spirit_servings]]+Tabla13[[#This Row],[wine_servings]]</f>
        <v>28</v>
      </c>
    </row>
    <row r="30" spans="1:6" x14ac:dyDescent="0.45">
      <c r="A30" t="s">
        <v>6</v>
      </c>
      <c r="B30" t="s">
        <v>35</v>
      </c>
      <c r="C30" s="1">
        <v>31</v>
      </c>
      <c r="D30" s="1">
        <v>3</v>
      </c>
      <c r="E30" s="1">
        <v>10</v>
      </c>
      <c r="F30" s="1">
        <f>+Tabla13[[#This Row],[beer_servings]]+5*Tabla13[[#This Row],[spirit_servings]]+Tabla13[[#This Row],[wine_servings]]</f>
        <v>56</v>
      </c>
    </row>
    <row r="31" spans="1:6" x14ac:dyDescent="0.45">
      <c r="A31" t="s">
        <v>6</v>
      </c>
      <c r="B31" t="s">
        <v>36</v>
      </c>
      <c r="C31" s="1">
        <v>58</v>
      </c>
      <c r="D31" s="1">
        <v>22</v>
      </c>
      <c r="E31" s="1">
        <v>2</v>
      </c>
      <c r="F31" s="1">
        <f>+Tabla13[[#This Row],[beer_servings]]+5*Tabla13[[#This Row],[spirit_servings]]+Tabla13[[#This Row],[wine_servings]]</f>
        <v>170</v>
      </c>
    </row>
    <row r="32" spans="1:6" x14ac:dyDescent="0.45">
      <c r="A32" t="s">
        <v>6</v>
      </c>
      <c r="B32" t="s">
        <v>37</v>
      </c>
      <c r="C32" s="1">
        <v>76</v>
      </c>
      <c r="D32" s="1">
        <v>1</v>
      </c>
      <c r="E32" s="1">
        <v>9</v>
      </c>
      <c r="F32" s="1">
        <f>+Tabla13[[#This Row],[beer_servings]]+5*Tabla13[[#This Row],[spirit_servings]]+Tabla13[[#This Row],[wine_servings]]</f>
        <v>90</v>
      </c>
    </row>
    <row r="33" spans="1:6" x14ac:dyDescent="0.45">
      <c r="A33" t="s">
        <v>6</v>
      </c>
      <c r="B33" t="s">
        <v>38</v>
      </c>
      <c r="C33" s="1">
        <v>8</v>
      </c>
      <c r="D33" s="1">
        <v>13</v>
      </c>
      <c r="E33" s="1">
        <v>0</v>
      </c>
      <c r="F33" s="1">
        <f>+Tabla13[[#This Row],[beer_servings]]+5*Tabla13[[#This Row],[spirit_servings]]+Tabla13[[#This Row],[wine_servings]]</f>
        <v>73</v>
      </c>
    </row>
    <row r="34" spans="1:6" x14ac:dyDescent="0.45">
      <c r="A34" t="s">
        <v>6</v>
      </c>
      <c r="B34" t="s">
        <v>39</v>
      </c>
      <c r="C34" s="1">
        <v>8</v>
      </c>
      <c r="D34" s="1">
        <v>11</v>
      </c>
      <c r="E34" s="1">
        <v>1</v>
      </c>
      <c r="F34" s="1">
        <f>+Tabla13[[#This Row],[beer_servings]]+5*Tabla13[[#This Row],[spirit_servings]]+Tabla13[[#This Row],[wine_servings]]</f>
        <v>64</v>
      </c>
    </row>
    <row r="35" spans="1:6" x14ac:dyDescent="0.45">
      <c r="A35" t="s">
        <v>6</v>
      </c>
      <c r="B35" t="s">
        <v>40</v>
      </c>
      <c r="C35" s="1">
        <v>47</v>
      </c>
      <c r="D35" s="1">
        <v>18</v>
      </c>
      <c r="E35" s="1">
        <v>5</v>
      </c>
      <c r="F35" s="1">
        <f>+Tabla13[[#This Row],[beer_servings]]+5*Tabla13[[#This Row],[spirit_servings]]+Tabla13[[#This Row],[wine_servings]]</f>
        <v>142</v>
      </c>
    </row>
    <row r="36" spans="1:6" x14ac:dyDescent="0.45">
      <c r="A36" t="s">
        <v>6</v>
      </c>
      <c r="B36" t="s">
        <v>41</v>
      </c>
      <c r="C36" s="1">
        <v>36</v>
      </c>
      <c r="D36" s="1">
        <v>2</v>
      </c>
      <c r="E36" s="1">
        <v>19</v>
      </c>
      <c r="F36" s="1">
        <f>+Tabla13[[#This Row],[beer_servings]]+5*Tabla13[[#This Row],[spirit_servings]]+Tabla13[[#This Row],[wine_servings]]</f>
        <v>65</v>
      </c>
    </row>
    <row r="37" spans="1:6" x14ac:dyDescent="0.45">
      <c r="A37" t="s">
        <v>6</v>
      </c>
      <c r="B37" t="s">
        <v>42</v>
      </c>
      <c r="C37" s="1">
        <v>51</v>
      </c>
      <c r="D37" s="1">
        <v>3</v>
      </c>
      <c r="E37" s="1">
        <v>20</v>
      </c>
      <c r="F37" s="1">
        <f>+Tabla13[[#This Row],[beer_servings]]+5*Tabla13[[#This Row],[spirit_servings]]+Tabla13[[#This Row],[wine_servings]]</f>
        <v>86</v>
      </c>
    </row>
    <row r="38" spans="1:6" x14ac:dyDescent="0.45">
      <c r="A38" t="s">
        <v>6</v>
      </c>
      <c r="B38" t="s">
        <v>43</v>
      </c>
      <c r="C38" s="1">
        <v>34</v>
      </c>
      <c r="D38" s="1">
        <v>4</v>
      </c>
      <c r="E38" s="1">
        <v>13</v>
      </c>
      <c r="F38" s="1">
        <f>+Tabla13[[#This Row],[beer_servings]]+5*Tabla13[[#This Row],[spirit_servings]]+Tabla13[[#This Row],[wine_servings]]</f>
        <v>67</v>
      </c>
    </row>
    <row r="39" spans="1:6" x14ac:dyDescent="0.45">
      <c r="A39" t="s">
        <v>6</v>
      </c>
      <c r="B39" t="s">
        <v>44</v>
      </c>
      <c r="C39" s="1">
        <v>15</v>
      </c>
      <c r="D39" s="1">
        <v>44</v>
      </c>
      <c r="E39" s="1">
        <v>3</v>
      </c>
      <c r="F39" s="1">
        <f>+Tabla13[[#This Row],[beer_servings]]+5*Tabla13[[#This Row],[spirit_servings]]+Tabla13[[#This Row],[wine_servings]]</f>
        <v>238</v>
      </c>
    </row>
    <row r="40" spans="1:6" x14ac:dyDescent="0.45">
      <c r="A40" t="s">
        <v>6</v>
      </c>
      <c r="B40" t="s">
        <v>45</v>
      </c>
      <c r="C40" s="1">
        <v>26</v>
      </c>
      <c r="D40" s="1">
        <v>15</v>
      </c>
      <c r="E40" s="1">
        <v>4</v>
      </c>
      <c r="F40" s="1">
        <f>+Tabla13[[#This Row],[beer_servings]]+5*Tabla13[[#This Row],[spirit_servings]]+Tabla13[[#This Row],[wine_servings]]</f>
        <v>105</v>
      </c>
    </row>
    <row r="41" spans="1:6" x14ac:dyDescent="0.45">
      <c r="A41" t="s">
        <v>6</v>
      </c>
      <c r="B41" t="s">
        <v>46</v>
      </c>
      <c r="C41" s="1">
        <v>25</v>
      </c>
      <c r="D41" s="1">
        <v>0</v>
      </c>
      <c r="E41" s="1">
        <v>14</v>
      </c>
      <c r="F41" s="1">
        <f>+Tabla13[[#This Row],[beer_servings]]+5*Tabla13[[#This Row],[spirit_servings]]+Tabla13[[#This Row],[wine_servings]]</f>
        <v>39</v>
      </c>
    </row>
    <row r="42" spans="1:6" x14ac:dyDescent="0.45">
      <c r="A42" t="s">
        <v>6</v>
      </c>
      <c r="B42" t="s">
        <v>47</v>
      </c>
      <c r="C42" s="1">
        <v>20</v>
      </c>
      <c r="D42" s="1">
        <v>3</v>
      </c>
      <c r="E42" s="1">
        <v>0</v>
      </c>
      <c r="F42" s="1">
        <f>+Tabla13[[#This Row],[beer_servings]]+5*Tabla13[[#This Row],[spirit_servings]]+Tabla13[[#This Row],[wine_servings]]</f>
        <v>35</v>
      </c>
    </row>
    <row r="43" spans="1:6" x14ac:dyDescent="0.45">
      <c r="A43" t="s">
        <v>6</v>
      </c>
      <c r="B43" t="s">
        <v>48</v>
      </c>
      <c r="C43" s="1">
        <v>5</v>
      </c>
      <c r="D43" s="1">
        <v>1</v>
      </c>
      <c r="E43" s="1">
        <v>1</v>
      </c>
      <c r="F43" s="1">
        <f>+Tabla13[[#This Row],[beer_servings]]+5*Tabla13[[#This Row],[spirit_servings]]+Tabla13[[#This Row],[wine_servings]]</f>
        <v>11</v>
      </c>
    </row>
    <row r="44" spans="1:6" x14ac:dyDescent="0.45">
      <c r="A44" t="s">
        <v>6</v>
      </c>
      <c r="B44" t="s">
        <v>49</v>
      </c>
      <c r="C44" s="1">
        <v>18</v>
      </c>
      <c r="D44" s="1">
        <v>0</v>
      </c>
      <c r="E44" s="1">
        <v>0</v>
      </c>
      <c r="F44" s="1">
        <f>+Tabla13[[#This Row],[beer_servings]]+5*Tabla13[[#This Row],[spirit_servings]]+Tabla13[[#This Row],[wine_servings]]</f>
        <v>18</v>
      </c>
    </row>
    <row r="45" spans="1:6" x14ac:dyDescent="0.45">
      <c r="A45" t="s">
        <v>6</v>
      </c>
      <c r="B45" t="s">
        <v>50</v>
      </c>
      <c r="C45" s="1">
        <v>12</v>
      </c>
      <c r="D45" s="1">
        <v>6</v>
      </c>
      <c r="E45" s="1">
        <v>10</v>
      </c>
      <c r="F45" s="1">
        <f>+Tabla13[[#This Row],[beer_servings]]+5*Tabla13[[#This Row],[spirit_servings]]+Tabla13[[#This Row],[wine_servings]]</f>
        <v>52</v>
      </c>
    </row>
    <row r="46" spans="1:6" x14ac:dyDescent="0.45">
      <c r="A46" t="s">
        <v>6</v>
      </c>
      <c r="B46" t="s">
        <v>51</v>
      </c>
      <c r="C46" s="1">
        <v>15</v>
      </c>
      <c r="D46" s="1">
        <v>1</v>
      </c>
      <c r="E46" s="1">
        <v>1</v>
      </c>
      <c r="F46" s="1">
        <f>+Tabla13[[#This Row],[beer_servings]]+5*Tabla13[[#This Row],[spirit_servings]]+Tabla13[[#This Row],[wine_servings]]</f>
        <v>21</v>
      </c>
    </row>
    <row r="47" spans="1:6" x14ac:dyDescent="0.45">
      <c r="A47" t="s">
        <v>6</v>
      </c>
      <c r="B47" t="s">
        <v>52</v>
      </c>
      <c r="C47" s="1">
        <v>9</v>
      </c>
      <c r="D47" s="1">
        <v>1</v>
      </c>
      <c r="E47" s="1">
        <v>7</v>
      </c>
      <c r="F47" s="1">
        <f>+Tabla13[[#This Row],[beer_servings]]+5*Tabla13[[#This Row],[spirit_servings]]+Tabla13[[#This Row],[wine_servings]]</f>
        <v>21</v>
      </c>
    </row>
    <row r="48" spans="1:6" x14ac:dyDescent="0.45">
      <c r="A48" t="s">
        <v>6</v>
      </c>
      <c r="B48" t="s">
        <v>53</v>
      </c>
      <c r="C48" s="1">
        <v>6</v>
      </c>
      <c r="D48" s="1">
        <v>4</v>
      </c>
      <c r="E48" s="1">
        <v>1</v>
      </c>
      <c r="F48" s="1">
        <f>+Tabla13[[#This Row],[beer_servings]]+5*Tabla13[[#This Row],[spirit_servings]]+Tabla13[[#This Row],[wine_servings]]</f>
        <v>27</v>
      </c>
    </row>
    <row r="49" spans="1:6" x14ac:dyDescent="0.45">
      <c r="A49" t="s">
        <v>6</v>
      </c>
      <c r="B49" t="s">
        <v>54</v>
      </c>
      <c r="C49" s="1">
        <v>9</v>
      </c>
      <c r="D49" s="1">
        <v>0</v>
      </c>
      <c r="E49" s="1">
        <v>2</v>
      </c>
      <c r="F49" s="1">
        <f>+Tabla13[[#This Row],[beer_servings]]+5*Tabla13[[#This Row],[spirit_servings]]+Tabla13[[#This Row],[wine_servings]]</f>
        <v>11</v>
      </c>
    </row>
    <row r="50" spans="1:6" x14ac:dyDescent="0.45">
      <c r="A50" t="s">
        <v>6</v>
      </c>
      <c r="B50" t="s">
        <v>55</v>
      </c>
      <c r="C50" s="1">
        <v>1</v>
      </c>
      <c r="D50" s="1">
        <v>3</v>
      </c>
      <c r="E50" s="1">
        <v>1</v>
      </c>
      <c r="F50" s="1">
        <f>+Tabla13[[#This Row],[beer_servings]]+5*Tabla13[[#This Row],[spirit_servings]]+Tabla13[[#This Row],[wine_servings]]</f>
        <v>17</v>
      </c>
    </row>
    <row r="51" spans="1:6" x14ac:dyDescent="0.45">
      <c r="A51" t="s">
        <v>6</v>
      </c>
      <c r="B51" t="s">
        <v>56</v>
      </c>
      <c r="C51" s="1">
        <v>3</v>
      </c>
      <c r="D51" s="1">
        <v>2</v>
      </c>
      <c r="E51" s="1">
        <v>1</v>
      </c>
      <c r="F51" s="1">
        <f>+Tabla13[[#This Row],[beer_servings]]+5*Tabla13[[#This Row],[spirit_servings]]+Tabla13[[#This Row],[wine_servings]]</f>
        <v>14</v>
      </c>
    </row>
    <row r="52" spans="1:6" x14ac:dyDescent="0.45">
      <c r="A52" t="s">
        <v>57</v>
      </c>
      <c r="B52" t="s">
        <v>58</v>
      </c>
      <c r="C52" s="1">
        <v>247</v>
      </c>
      <c r="D52" s="1">
        <v>326</v>
      </c>
      <c r="E52" s="1">
        <v>73</v>
      </c>
      <c r="F52" s="1">
        <f>+Tabla13[[#This Row],[beer_servings]]+5*Tabla13[[#This Row],[spirit_servings]]+Tabla13[[#This Row],[wine_servings]]</f>
        <v>1950</v>
      </c>
    </row>
    <row r="53" spans="1:6" x14ac:dyDescent="0.45">
      <c r="A53" t="s">
        <v>57</v>
      </c>
      <c r="B53" t="s">
        <v>59</v>
      </c>
      <c r="C53" s="1">
        <v>140</v>
      </c>
      <c r="D53" s="1">
        <v>16</v>
      </c>
      <c r="E53" s="1">
        <v>9</v>
      </c>
      <c r="F53" s="1">
        <f>+Tabla13[[#This Row],[beer_servings]]+5*Tabla13[[#This Row],[spirit_servings]]+Tabla13[[#This Row],[wine_servings]]</f>
        <v>229</v>
      </c>
    </row>
    <row r="54" spans="1:6" x14ac:dyDescent="0.45">
      <c r="A54" t="s">
        <v>57</v>
      </c>
      <c r="B54" t="s">
        <v>60</v>
      </c>
      <c r="C54" s="1">
        <v>77</v>
      </c>
      <c r="D54" s="1">
        <v>202</v>
      </c>
      <c r="E54" s="1">
        <v>16</v>
      </c>
      <c r="F54" s="1">
        <f>+Tabla13[[#This Row],[beer_servings]]+5*Tabla13[[#This Row],[spirit_servings]]+Tabla13[[#This Row],[wine_servings]]</f>
        <v>1103</v>
      </c>
    </row>
    <row r="55" spans="1:6" x14ac:dyDescent="0.45">
      <c r="A55" t="s">
        <v>57</v>
      </c>
      <c r="B55" t="s">
        <v>61</v>
      </c>
      <c r="C55" s="1">
        <v>124</v>
      </c>
      <c r="D55" s="1">
        <v>246</v>
      </c>
      <c r="E55" s="1">
        <v>12</v>
      </c>
      <c r="F55" s="1">
        <f>+Tabla13[[#This Row],[beer_servings]]+5*Tabla13[[#This Row],[spirit_servings]]+Tabla13[[#This Row],[wine_servings]]</f>
        <v>1366</v>
      </c>
    </row>
    <row r="56" spans="1:6" x14ac:dyDescent="0.45">
      <c r="A56" t="s">
        <v>57</v>
      </c>
      <c r="B56" t="s">
        <v>62</v>
      </c>
      <c r="C56" s="1">
        <v>99</v>
      </c>
      <c r="D56" s="1">
        <v>258</v>
      </c>
      <c r="E56" s="1">
        <v>1</v>
      </c>
      <c r="F56" s="1">
        <f>+Tabla13[[#This Row],[beer_servings]]+5*Tabla13[[#This Row],[spirit_servings]]+Tabla13[[#This Row],[wine_servings]]</f>
        <v>1390</v>
      </c>
    </row>
    <row r="57" spans="1:6" x14ac:dyDescent="0.45">
      <c r="A57" t="s">
        <v>57</v>
      </c>
      <c r="B57" t="s">
        <v>63</v>
      </c>
      <c r="C57" s="1">
        <v>62</v>
      </c>
      <c r="D57" s="1">
        <v>0</v>
      </c>
      <c r="E57" s="1">
        <v>123</v>
      </c>
      <c r="F57" s="1">
        <f>+Tabla13[[#This Row],[beer_servings]]+5*Tabla13[[#This Row],[spirit_servings]]+Tabla13[[#This Row],[wine_servings]]</f>
        <v>185</v>
      </c>
    </row>
    <row r="58" spans="1:6" x14ac:dyDescent="0.45">
      <c r="A58" t="s">
        <v>57</v>
      </c>
      <c r="B58" t="s">
        <v>64</v>
      </c>
      <c r="C58" s="1">
        <v>79</v>
      </c>
      <c r="D58" s="1">
        <v>192</v>
      </c>
      <c r="E58" s="1">
        <v>8</v>
      </c>
      <c r="F58" s="1">
        <f>+Tabla13[[#This Row],[beer_servings]]+5*Tabla13[[#This Row],[spirit_servings]]+Tabla13[[#This Row],[wine_servings]]</f>
        <v>1047</v>
      </c>
    </row>
    <row r="59" spans="1:6" x14ac:dyDescent="0.45">
      <c r="A59" t="s">
        <v>57</v>
      </c>
      <c r="B59" t="s">
        <v>65</v>
      </c>
      <c r="C59" s="1">
        <v>77</v>
      </c>
      <c r="D59" s="1">
        <v>189</v>
      </c>
      <c r="E59" s="1">
        <v>8</v>
      </c>
      <c r="F59" s="1">
        <f>+Tabla13[[#This Row],[beer_servings]]+5*Tabla13[[#This Row],[spirit_servings]]+Tabla13[[#This Row],[wine_servings]]</f>
        <v>1030</v>
      </c>
    </row>
    <row r="60" spans="1:6" x14ac:dyDescent="0.45">
      <c r="A60" t="s">
        <v>57</v>
      </c>
      <c r="B60" t="s">
        <v>66</v>
      </c>
      <c r="C60" s="1">
        <v>71</v>
      </c>
      <c r="D60" s="1">
        <v>186</v>
      </c>
      <c r="E60" s="1">
        <v>1</v>
      </c>
      <c r="F60" s="1">
        <f>+Tabla13[[#This Row],[beer_servings]]+5*Tabla13[[#This Row],[spirit_servings]]+Tabla13[[#This Row],[wine_servings]]</f>
        <v>1002</v>
      </c>
    </row>
    <row r="61" spans="1:6" x14ac:dyDescent="0.45">
      <c r="A61" t="s">
        <v>57</v>
      </c>
      <c r="B61" t="s">
        <v>67</v>
      </c>
      <c r="C61" s="1">
        <v>16</v>
      </c>
      <c r="D61" s="1">
        <v>135</v>
      </c>
      <c r="E61" s="1">
        <v>5</v>
      </c>
      <c r="F61" s="1">
        <f>+Tabla13[[#This Row],[beer_servings]]+5*Tabla13[[#This Row],[spirit_servings]]+Tabla13[[#This Row],[wine_servings]]</f>
        <v>696</v>
      </c>
    </row>
    <row r="62" spans="1:6" x14ac:dyDescent="0.45">
      <c r="A62" t="s">
        <v>57</v>
      </c>
      <c r="B62" t="s">
        <v>68</v>
      </c>
      <c r="C62" s="1">
        <v>63</v>
      </c>
      <c r="D62" s="1">
        <v>69</v>
      </c>
      <c r="E62" s="1">
        <v>9</v>
      </c>
      <c r="F62" s="1">
        <f>+Tabla13[[#This Row],[beer_servings]]+5*Tabla13[[#This Row],[spirit_servings]]+Tabla13[[#This Row],[wine_servings]]</f>
        <v>417</v>
      </c>
    </row>
    <row r="63" spans="1:6" x14ac:dyDescent="0.45">
      <c r="A63" t="s">
        <v>57</v>
      </c>
      <c r="B63" t="s">
        <v>69</v>
      </c>
      <c r="C63" s="1">
        <v>31</v>
      </c>
      <c r="D63" s="1">
        <v>97</v>
      </c>
      <c r="E63" s="1">
        <v>6</v>
      </c>
      <c r="F63" s="1">
        <f>+Tabla13[[#This Row],[beer_servings]]+5*Tabla13[[#This Row],[spirit_servings]]+Tabla13[[#This Row],[wine_servings]]</f>
        <v>522</v>
      </c>
    </row>
    <row r="64" spans="1:6" x14ac:dyDescent="0.45">
      <c r="A64" t="s">
        <v>57</v>
      </c>
      <c r="B64" t="s">
        <v>70</v>
      </c>
      <c r="C64" s="1">
        <v>25</v>
      </c>
      <c r="D64" s="1">
        <v>101</v>
      </c>
      <c r="E64" s="1">
        <v>8</v>
      </c>
      <c r="F64" s="1">
        <f>+Tabla13[[#This Row],[beer_servings]]+5*Tabla13[[#This Row],[spirit_servings]]+Tabla13[[#This Row],[wine_servings]]</f>
        <v>538</v>
      </c>
    </row>
    <row r="65" spans="1:6" x14ac:dyDescent="0.45">
      <c r="A65" t="s">
        <v>57</v>
      </c>
      <c r="B65" t="s">
        <v>71</v>
      </c>
      <c r="C65" s="1">
        <v>57</v>
      </c>
      <c r="D65" s="1">
        <v>65</v>
      </c>
      <c r="E65" s="1">
        <v>1</v>
      </c>
      <c r="F65" s="1">
        <f>+Tabla13[[#This Row],[beer_servings]]+5*Tabla13[[#This Row],[spirit_servings]]+Tabla13[[#This Row],[wine_servings]]</f>
        <v>383</v>
      </c>
    </row>
    <row r="66" spans="1:6" x14ac:dyDescent="0.45">
      <c r="A66" t="s">
        <v>57</v>
      </c>
      <c r="B66" t="s">
        <v>72</v>
      </c>
      <c r="C66" s="1">
        <v>9</v>
      </c>
      <c r="D66" s="1">
        <v>114</v>
      </c>
      <c r="E66" s="1">
        <v>0</v>
      </c>
      <c r="F66" s="1">
        <f>+Tabla13[[#This Row],[beer_servings]]+5*Tabla13[[#This Row],[spirit_servings]]+Tabla13[[#This Row],[wine_servings]]</f>
        <v>579</v>
      </c>
    </row>
    <row r="67" spans="1:6" x14ac:dyDescent="0.45">
      <c r="A67" t="s">
        <v>57</v>
      </c>
      <c r="B67" t="s">
        <v>73</v>
      </c>
      <c r="C67" s="1">
        <v>16</v>
      </c>
      <c r="D67" s="1">
        <v>104</v>
      </c>
      <c r="E67" s="1">
        <v>0</v>
      </c>
      <c r="F67" s="1">
        <f>+Tabla13[[#This Row],[beer_servings]]+5*Tabla13[[#This Row],[spirit_servings]]+Tabla13[[#This Row],[wine_servings]]</f>
        <v>536</v>
      </c>
    </row>
    <row r="68" spans="1:6" x14ac:dyDescent="0.45">
      <c r="A68" t="s">
        <v>57</v>
      </c>
      <c r="B68" t="s">
        <v>74</v>
      </c>
      <c r="C68" s="1">
        <v>19</v>
      </c>
      <c r="D68" s="1">
        <v>71</v>
      </c>
      <c r="E68" s="1">
        <v>32</v>
      </c>
      <c r="F68" s="1">
        <f>+Tabla13[[#This Row],[beer_servings]]+5*Tabla13[[#This Row],[spirit_servings]]+Tabla13[[#This Row],[wine_servings]]</f>
        <v>406</v>
      </c>
    </row>
    <row r="69" spans="1:6" x14ac:dyDescent="0.45">
      <c r="A69" t="s">
        <v>57</v>
      </c>
      <c r="B69" t="s">
        <v>75</v>
      </c>
      <c r="C69" s="1">
        <v>42</v>
      </c>
      <c r="D69" s="1">
        <v>63</v>
      </c>
      <c r="E69" s="1">
        <v>7</v>
      </c>
      <c r="F69" s="1">
        <f>+Tabla13[[#This Row],[beer_servings]]+5*Tabla13[[#This Row],[spirit_servings]]+Tabla13[[#This Row],[wine_servings]]</f>
        <v>364</v>
      </c>
    </row>
    <row r="70" spans="1:6" x14ac:dyDescent="0.45">
      <c r="A70" t="s">
        <v>57</v>
      </c>
      <c r="B70" t="s">
        <v>76</v>
      </c>
      <c r="C70" s="1">
        <v>111</v>
      </c>
      <c r="D70" s="1">
        <v>2</v>
      </c>
      <c r="E70" s="1">
        <v>1</v>
      </c>
      <c r="F70" s="1">
        <f>+Tabla13[[#This Row],[beer_servings]]+5*Tabla13[[#This Row],[spirit_servings]]+Tabla13[[#This Row],[wine_servings]]</f>
        <v>122</v>
      </c>
    </row>
    <row r="71" spans="1:6" x14ac:dyDescent="0.45">
      <c r="A71" t="s">
        <v>57</v>
      </c>
      <c r="B71" t="s">
        <v>77</v>
      </c>
      <c r="C71" s="1">
        <v>20</v>
      </c>
      <c r="D71" s="1">
        <v>55</v>
      </c>
      <c r="E71" s="1">
        <v>31</v>
      </c>
      <c r="F71" s="1">
        <f>+Tabla13[[#This Row],[beer_servings]]+5*Tabla13[[#This Row],[spirit_servings]]+Tabla13[[#This Row],[wine_servings]]</f>
        <v>326</v>
      </c>
    </row>
    <row r="72" spans="1:6" x14ac:dyDescent="0.45">
      <c r="A72" t="s">
        <v>57</v>
      </c>
      <c r="B72" t="s">
        <v>78</v>
      </c>
      <c r="C72" s="1">
        <v>60</v>
      </c>
      <c r="D72" s="1">
        <v>12</v>
      </c>
      <c r="E72" s="1">
        <v>11</v>
      </c>
      <c r="F72" s="1">
        <f>+Tabla13[[#This Row],[beer_servings]]+5*Tabla13[[#This Row],[spirit_servings]]+Tabla13[[#This Row],[wine_servings]]</f>
        <v>131</v>
      </c>
    </row>
    <row r="73" spans="1:6" x14ac:dyDescent="0.45">
      <c r="A73" t="s">
        <v>57</v>
      </c>
      <c r="B73" t="s">
        <v>79</v>
      </c>
      <c r="C73" s="1">
        <v>51</v>
      </c>
      <c r="D73" s="1">
        <v>22</v>
      </c>
      <c r="E73" s="1">
        <v>7</v>
      </c>
      <c r="F73" s="1">
        <f>+Tabla13[[#This Row],[beer_servings]]+5*Tabla13[[#This Row],[spirit_servings]]+Tabla13[[#This Row],[wine_servings]]</f>
        <v>168</v>
      </c>
    </row>
    <row r="74" spans="1:6" x14ac:dyDescent="0.45">
      <c r="A74" t="s">
        <v>57</v>
      </c>
      <c r="B74" t="s">
        <v>80</v>
      </c>
      <c r="C74" s="1">
        <v>5</v>
      </c>
      <c r="D74" s="1">
        <v>35</v>
      </c>
      <c r="E74" s="1">
        <v>16</v>
      </c>
      <c r="F74" s="1">
        <f>+Tabla13[[#This Row],[beer_servings]]+5*Tabla13[[#This Row],[spirit_servings]]+Tabla13[[#This Row],[wine_servings]]</f>
        <v>196</v>
      </c>
    </row>
    <row r="75" spans="1:6" x14ac:dyDescent="0.45">
      <c r="A75" t="s">
        <v>57</v>
      </c>
      <c r="B75" t="s">
        <v>81</v>
      </c>
      <c r="C75" s="1">
        <v>1</v>
      </c>
      <c r="D75" s="1">
        <v>42</v>
      </c>
      <c r="E75" s="1">
        <v>7</v>
      </c>
      <c r="F75" s="1">
        <f>+Tabla13[[#This Row],[beer_servings]]+5*Tabla13[[#This Row],[spirit_servings]]+Tabla13[[#This Row],[wine_servings]]</f>
        <v>218</v>
      </c>
    </row>
    <row r="76" spans="1:6" x14ac:dyDescent="0.45">
      <c r="A76" t="s">
        <v>57</v>
      </c>
      <c r="B76" t="s">
        <v>82</v>
      </c>
      <c r="C76" s="1">
        <v>22</v>
      </c>
      <c r="D76" s="1">
        <v>16</v>
      </c>
      <c r="E76" s="1">
        <v>1</v>
      </c>
      <c r="F76" s="1">
        <f>+Tabla13[[#This Row],[beer_servings]]+5*Tabla13[[#This Row],[spirit_servings]]+Tabla13[[#This Row],[wine_servings]]</f>
        <v>103</v>
      </c>
    </row>
    <row r="77" spans="1:6" x14ac:dyDescent="0.45">
      <c r="A77" t="s">
        <v>57</v>
      </c>
      <c r="B77" t="s">
        <v>83</v>
      </c>
      <c r="C77" s="1">
        <v>31</v>
      </c>
      <c r="D77" s="1">
        <v>2</v>
      </c>
      <c r="E77" s="1">
        <v>1</v>
      </c>
      <c r="F77" s="1">
        <f>+Tabla13[[#This Row],[beer_servings]]+5*Tabla13[[#This Row],[spirit_servings]]+Tabla13[[#This Row],[wine_servings]]</f>
        <v>42</v>
      </c>
    </row>
    <row r="78" spans="1:6" x14ac:dyDescent="0.45">
      <c r="A78" t="s">
        <v>57</v>
      </c>
      <c r="B78" t="s">
        <v>84</v>
      </c>
      <c r="C78" s="1">
        <v>6</v>
      </c>
      <c r="D78" s="1">
        <v>21</v>
      </c>
      <c r="E78" s="1">
        <v>1</v>
      </c>
      <c r="F78" s="1">
        <f>+Tabla13[[#This Row],[beer_servings]]+5*Tabla13[[#This Row],[spirit_servings]]+Tabla13[[#This Row],[wine_servings]]</f>
        <v>112</v>
      </c>
    </row>
    <row r="79" spans="1:6" x14ac:dyDescent="0.45">
      <c r="A79" t="s">
        <v>57</v>
      </c>
      <c r="B79" t="s">
        <v>85</v>
      </c>
      <c r="C79" s="1">
        <v>23</v>
      </c>
      <c r="D79" s="1">
        <v>0</v>
      </c>
      <c r="E79" s="1">
        <v>0</v>
      </c>
      <c r="F79" s="1">
        <f>+Tabla13[[#This Row],[beer_servings]]+5*Tabla13[[#This Row],[spirit_servings]]+Tabla13[[#This Row],[wine_servings]]</f>
        <v>23</v>
      </c>
    </row>
    <row r="80" spans="1:6" x14ac:dyDescent="0.45">
      <c r="A80" t="s">
        <v>57</v>
      </c>
      <c r="B80" t="s">
        <v>86</v>
      </c>
      <c r="C80" s="1">
        <v>13</v>
      </c>
      <c r="D80" s="1">
        <v>4</v>
      </c>
      <c r="E80" s="1">
        <v>0</v>
      </c>
      <c r="F80" s="1">
        <f>+Tabla13[[#This Row],[beer_servings]]+5*Tabla13[[#This Row],[spirit_servings]]+Tabla13[[#This Row],[wine_servings]]</f>
        <v>33</v>
      </c>
    </row>
    <row r="81" spans="1:6" x14ac:dyDescent="0.45">
      <c r="A81" t="s">
        <v>57</v>
      </c>
      <c r="B81" t="s">
        <v>87</v>
      </c>
      <c r="C81" s="1">
        <v>2</v>
      </c>
      <c r="D81" s="1">
        <v>15</v>
      </c>
      <c r="E81" s="1">
        <v>0</v>
      </c>
      <c r="F81" s="1">
        <f>+Tabla13[[#This Row],[beer_servings]]+5*Tabla13[[#This Row],[spirit_servings]]+Tabla13[[#This Row],[wine_servings]]</f>
        <v>77</v>
      </c>
    </row>
    <row r="82" spans="1:6" x14ac:dyDescent="0.45">
      <c r="A82" t="s">
        <v>57</v>
      </c>
      <c r="B82" t="s">
        <v>88</v>
      </c>
      <c r="C82" s="1">
        <v>9</v>
      </c>
      <c r="D82" s="1">
        <v>3</v>
      </c>
      <c r="E82" s="1">
        <v>0</v>
      </c>
      <c r="F82" s="1">
        <f>+Tabla13[[#This Row],[beer_servings]]+5*Tabla13[[#This Row],[spirit_servings]]+Tabla13[[#This Row],[wine_servings]]</f>
        <v>24</v>
      </c>
    </row>
    <row r="83" spans="1:6" x14ac:dyDescent="0.45">
      <c r="A83" t="s">
        <v>57</v>
      </c>
      <c r="B83" t="s">
        <v>89</v>
      </c>
      <c r="C83" s="1">
        <v>5</v>
      </c>
      <c r="D83" s="1">
        <v>6</v>
      </c>
      <c r="E83" s="1">
        <v>0</v>
      </c>
      <c r="F83" s="1">
        <f>+Tabla13[[#This Row],[beer_servings]]+5*Tabla13[[#This Row],[spirit_servings]]+Tabla13[[#This Row],[wine_servings]]</f>
        <v>35</v>
      </c>
    </row>
    <row r="84" spans="1:6" x14ac:dyDescent="0.45">
      <c r="A84" t="s">
        <v>57</v>
      </c>
      <c r="B84" t="s">
        <v>90</v>
      </c>
      <c r="C84" s="1">
        <v>5</v>
      </c>
      <c r="D84" s="1">
        <v>1</v>
      </c>
      <c r="E84" s="1">
        <v>0</v>
      </c>
      <c r="F84" s="1">
        <f>+Tabla13[[#This Row],[beer_servings]]+5*Tabla13[[#This Row],[spirit_servings]]+Tabla13[[#This Row],[wine_servings]]</f>
        <v>10</v>
      </c>
    </row>
    <row r="85" spans="1:6" x14ac:dyDescent="0.45">
      <c r="A85" t="s">
        <v>57</v>
      </c>
      <c r="B85" t="s">
        <v>91</v>
      </c>
      <c r="C85" s="1">
        <v>5</v>
      </c>
      <c r="D85" s="1">
        <v>1</v>
      </c>
      <c r="E85" s="1">
        <v>0</v>
      </c>
      <c r="F85" s="1">
        <f>+Tabla13[[#This Row],[beer_servings]]+5*Tabla13[[#This Row],[spirit_servings]]+Tabla13[[#This Row],[wine_servings]]</f>
        <v>10</v>
      </c>
    </row>
    <row r="86" spans="1:6" x14ac:dyDescent="0.45">
      <c r="A86" t="s">
        <v>57</v>
      </c>
      <c r="B86" t="s">
        <v>92</v>
      </c>
      <c r="C86" s="1">
        <v>0</v>
      </c>
      <c r="D86" s="1">
        <v>5</v>
      </c>
      <c r="E86" s="1">
        <v>0</v>
      </c>
      <c r="F86" s="1">
        <f>+Tabla13[[#This Row],[beer_servings]]+5*Tabla13[[#This Row],[spirit_servings]]+Tabla13[[#This Row],[wine_servings]]</f>
        <v>25</v>
      </c>
    </row>
    <row r="87" spans="1:6" x14ac:dyDescent="0.45">
      <c r="A87" t="s">
        <v>57</v>
      </c>
      <c r="B87" t="s">
        <v>93</v>
      </c>
      <c r="C87" s="1">
        <v>1</v>
      </c>
      <c r="D87" s="1">
        <v>1</v>
      </c>
      <c r="E87" s="1">
        <v>4</v>
      </c>
      <c r="F87" s="1">
        <f>+Tabla13[[#This Row],[beer_servings]]+5*Tabla13[[#This Row],[spirit_servings]]+Tabla13[[#This Row],[wine_servings]]</f>
        <v>10</v>
      </c>
    </row>
    <row r="88" spans="1:6" x14ac:dyDescent="0.45">
      <c r="A88" t="s">
        <v>57</v>
      </c>
      <c r="B88" t="s">
        <v>94</v>
      </c>
      <c r="C88" s="1">
        <v>6</v>
      </c>
      <c r="D88" s="1">
        <v>0</v>
      </c>
      <c r="E88" s="1">
        <v>0</v>
      </c>
      <c r="F88" s="1">
        <f>+Tabla13[[#This Row],[beer_servings]]+5*Tabla13[[#This Row],[spirit_servings]]+Tabla13[[#This Row],[wine_servings]]</f>
        <v>6</v>
      </c>
    </row>
    <row r="89" spans="1:6" x14ac:dyDescent="0.45">
      <c r="A89" t="s">
        <v>95</v>
      </c>
      <c r="B89" t="s">
        <v>96</v>
      </c>
      <c r="C89" s="1">
        <v>142</v>
      </c>
      <c r="D89" s="1">
        <v>373</v>
      </c>
      <c r="E89" s="1">
        <v>42</v>
      </c>
      <c r="F89" s="1">
        <f>+Tabla13[[#This Row],[beer_servings]]+5*Tabla13[[#This Row],[spirit_servings]]+Tabla13[[#This Row],[wine_servings]]</f>
        <v>2049</v>
      </c>
    </row>
    <row r="90" spans="1:6" x14ac:dyDescent="0.45">
      <c r="A90" t="s">
        <v>95</v>
      </c>
      <c r="B90" t="s">
        <v>97</v>
      </c>
      <c r="C90" s="1">
        <v>343</v>
      </c>
      <c r="D90" s="1">
        <v>244</v>
      </c>
      <c r="E90" s="1">
        <v>56</v>
      </c>
      <c r="F90" s="1">
        <f>+Tabla13[[#This Row],[beer_servings]]+5*Tabla13[[#This Row],[spirit_servings]]+Tabla13[[#This Row],[wine_servings]]</f>
        <v>1619</v>
      </c>
    </row>
    <row r="91" spans="1:6" x14ac:dyDescent="0.45">
      <c r="A91" t="s">
        <v>95</v>
      </c>
      <c r="B91" t="s">
        <v>98</v>
      </c>
      <c r="C91" s="1">
        <v>245</v>
      </c>
      <c r="D91" s="1">
        <v>138</v>
      </c>
      <c r="E91" s="1">
        <v>312</v>
      </c>
      <c r="F91" s="1">
        <f>+Tabla13[[#This Row],[beer_servings]]+5*Tabla13[[#This Row],[spirit_servings]]+Tabla13[[#This Row],[wine_servings]]</f>
        <v>1247</v>
      </c>
    </row>
    <row r="92" spans="1:6" x14ac:dyDescent="0.45">
      <c r="A92" t="s">
        <v>95</v>
      </c>
      <c r="B92" t="s">
        <v>99</v>
      </c>
      <c r="C92" s="1">
        <v>361</v>
      </c>
      <c r="D92" s="1">
        <v>170</v>
      </c>
      <c r="E92" s="1">
        <v>134</v>
      </c>
      <c r="F92" s="1">
        <f>+Tabla13[[#This Row],[beer_servings]]+5*Tabla13[[#This Row],[spirit_servings]]+Tabla13[[#This Row],[wine_servings]]</f>
        <v>1345</v>
      </c>
    </row>
    <row r="93" spans="1:6" x14ac:dyDescent="0.45">
      <c r="A93" t="s">
        <v>95</v>
      </c>
      <c r="B93" t="s">
        <v>100</v>
      </c>
      <c r="C93" s="1">
        <v>127</v>
      </c>
      <c r="D93" s="1">
        <v>151</v>
      </c>
      <c r="E93" s="1">
        <v>370</v>
      </c>
      <c r="F93" s="1">
        <f>+Tabla13[[#This Row],[beer_servings]]+5*Tabla13[[#This Row],[spirit_servings]]+Tabla13[[#This Row],[wine_servings]]</f>
        <v>1252</v>
      </c>
    </row>
    <row r="94" spans="1:6" x14ac:dyDescent="0.45">
      <c r="A94" t="s">
        <v>95</v>
      </c>
      <c r="B94" t="s">
        <v>101</v>
      </c>
      <c r="C94" s="1">
        <v>313</v>
      </c>
      <c r="D94" s="1">
        <v>118</v>
      </c>
      <c r="E94" s="1">
        <v>165</v>
      </c>
      <c r="F94" s="1">
        <f>+Tabla13[[#This Row],[beer_servings]]+5*Tabla13[[#This Row],[spirit_servings]]+Tabla13[[#This Row],[wine_servings]]</f>
        <v>1068</v>
      </c>
    </row>
    <row r="95" spans="1:6" x14ac:dyDescent="0.45">
      <c r="A95" t="s">
        <v>95</v>
      </c>
      <c r="B95" t="s">
        <v>102</v>
      </c>
      <c r="C95" s="1">
        <v>236</v>
      </c>
      <c r="D95" s="1">
        <v>133</v>
      </c>
      <c r="E95" s="1">
        <v>271</v>
      </c>
      <c r="F95" s="1">
        <f>+Tabla13[[#This Row],[beer_servings]]+5*Tabla13[[#This Row],[spirit_servings]]+Tabla13[[#This Row],[wine_servings]]</f>
        <v>1172</v>
      </c>
    </row>
    <row r="96" spans="1:6" x14ac:dyDescent="0.45">
      <c r="A96" t="s">
        <v>95</v>
      </c>
      <c r="B96" t="s">
        <v>103</v>
      </c>
      <c r="C96" s="1">
        <v>196</v>
      </c>
      <c r="D96" s="1">
        <v>293</v>
      </c>
      <c r="E96" s="1">
        <v>116</v>
      </c>
      <c r="F96" s="1">
        <f>+Tabla13[[#This Row],[beer_servings]]+5*Tabla13[[#This Row],[spirit_servings]]+Tabla13[[#This Row],[wine_servings]]</f>
        <v>1777</v>
      </c>
    </row>
    <row r="97" spans="1:6" x14ac:dyDescent="0.45">
      <c r="A97" t="s">
        <v>95</v>
      </c>
      <c r="B97" t="s">
        <v>104</v>
      </c>
      <c r="C97" s="1">
        <v>346</v>
      </c>
      <c r="D97" s="1">
        <v>117</v>
      </c>
      <c r="E97" s="1">
        <v>175</v>
      </c>
      <c r="F97" s="1">
        <f>+Tabla13[[#This Row],[beer_servings]]+5*Tabla13[[#This Row],[spirit_servings]]+Tabla13[[#This Row],[wine_servings]]</f>
        <v>1106</v>
      </c>
    </row>
    <row r="98" spans="1:6" x14ac:dyDescent="0.45">
      <c r="A98" t="s">
        <v>95</v>
      </c>
      <c r="B98" t="s">
        <v>105</v>
      </c>
      <c r="C98" s="1">
        <v>234</v>
      </c>
      <c r="D98" s="1">
        <v>215</v>
      </c>
      <c r="E98" s="1">
        <v>185</v>
      </c>
      <c r="F98" s="1">
        <f>+Tabla13[[#This Row],[beer_servings]]+5*Tabla13[[#This Row],[spirit_servings]]+Tabla13[[#This Row],[wine_servings]]</f>
        <v>1494</v>
      </c>
    </row>
    <row r="99" spans="1:6" x14ac:dyDescent="0.45">
      <c r="A99" t="s">
        <v>95</v>
      </c>
      <c r="B99" t="s">
        <v>106</v>
      </c>
      <c r="C99" s="1">
        <v>194</v>
      </c>
      <c r="D99" s="1">
        <v>67</v>
      </c>
      <c r="E99" s="1">
        <v>339</v>
      </c>
      <c r="F99" s="1">
        <f>+Tabla13[[#This Row],[beer_servings]]+5*Tabla13[[#This Row],[spirit_servings]]+Tabla13[[#This Row],[wine_servings]]</f>
        <v>868</v>
      </c>
    </row>
    <row r="100" spans="1:6" x14ac:dyDescent="0.45">
      <c r="A100" t="s">
        <v>95</v>
      </c>
      <c r="B100" t="s">
        <v>107</v>
      </c>
      <c r="C100" s="1">
        <v>343</v>
      </c>
      <c r="D100" s="1">
        <v>215</v>
      </c>
      <c r="E100" s="1">
        <v>56</v>
      </c>
      <c r="F100" s="1">
        <f>+Tabla13[[#This Row],[beer_servings]]+5*Tabla13[[#This Row],[spirit_servings]]+Tabla13[[#This Row],[wine_servings]]</f>
        <v>1474</v>
      </c>
    </row>
    <row r="101" spans="1:6" x14ac:dyDescent="0.45">
      <c r="A101" t="s">
        <v>95</v>
      </c>
      <c r="B101" t="s">
        <v>108</v>
      </c>
      <c r="C101" s="1">
        <v>270</v>
      </c>
      <c r="D101" s="1">
        <v>51</v>
      </c>
      <c r="E101" s="1">
        <v>276</v>
      </c>
      <c r="F101" s="1">
        <f>+Tabla13[[#This Row],[beer_servings]]+5*Tabla13[[#This Row],[spirit_servings]]+Tabla13[[#This Row],[wine_servings]]</f>
        <v>801</v>
      </c>
    </row>
    <row r="102" spans="1:6" x14ac:dyDescent="0.45">
      <c r="A102" t="s">
        <v>95</v>
      </c>
      <c r="B102" t="s">
        <v>109</v>
      </c>
      <c r="C102" s="1">
        <v>295</v>
      </c>
      <c r="D102" s="1">
        <v>84</v>
      </c>
      <c r="E102" s="1">
        <v>212</v>
      </c>
      <c r="F102" s="1">
        <f>+Tabla13[[#This Row],[beer_servings]]+5*Tabla13[[#This Row],[spirit_servings]]+Tabla13[[#This Row],[wine_servings]]</f>
        <v>927</v>
      </c>
    </row>
    <row r="103" spans="1:6" x14ac:dyDescent="0.45">
      <c r="A103" t="s">
        <v>95</v>
      </c>
      <c r="B103" t="s">
        <v>110</v>
      </c>
      <c r="C103" s="1">
        <v>281</v>
      </c>
      <c r="D103" s="1">
        <v>216</v>
      </c>
      <c r="E103" s="1">
        <v>62</v>
      </c>
      <c r="F103" s="1">
        <f>+Tabla13[[#This Row],[beer_servings]]+5*Tabla13[[#This Row],[spirit_servings]]+Tabla13[[#This Row],[wine_servings]]</f>
        <v>1423</v>
      </c>
    </row>
    <row r="104" spans="1:6" x14ac:dyDescent="0.45">
      <c r="A104" t="s">
        <v>95</v>
      </c>
      <c r="B104" t="s">
        <v>111</v>
      </c>
      <c r="C104" s="1">
        <v>224</v>
      </c>
      <c r="D104" s="1">
        <v>81</v>
      </c>
      <c r="E104" s="1">
        <v>278</v>
      </c>
      <c r="F104" s="1">
        <f>+Tabla13[[#This Row],[beer_servings]]+5*Tabla13[[#This Row],[spirit_servings]]+Tabla13[[#This Row],[wine_servings]]</f>
        <v>907</v>
      </c>
    </row>
    <row r="105" spans="1:6" x14ac:dyDescent="0.45">
      <c r="A105" t="s">
        <v>95</v>
      </c>
      <c r="B105" t="s">
        <v>112</v>
      </c>
      <c r="C105" s="1">
        <v>297</v>
      </c>
      <c r="D105" s="1">
        <v>122</v>
      </c>
      <c r="E105" s="1">
        <v>167</v>
      </c>
      <c r="F105" s="1">
        <f>+Tabla13[[#This Row],[beer_servings]]+5*Tabla13[[#This Row],[spirit_servings]]+Tabla13[[#This Row],[wine_servings]]</f>
        <v>1074</v>
      </c>
    </row>
    <row r="106" spans="1:6" x14ac:dyDescent="0.45">
      <c r="A106" t="s">
        <v>95</v>
      </c>
      <c r="B106" t="s">
        <v>113</v>
      </c>
      <c r="C106" s="1">
        <v>219</v>
      </c>
      <c r="D106" s="1">
        <v>126</v>
      </c>
      <c r="E106" s="1">
        <v>195</v>
      </c>
      <c r="F106" s="1">
        <f>+Tabla13[[#This Row],[beer_servings]]+5*Tabla13[[#This Row],[spirit_servings]]+Tabla13[[#This Row],[wine_servings]]</f>
        <v>1044</v>
      </c>
    </row>
    <row r="107" spans="1:6" x14ac:dyDescent="0.45">
      <c r="A107" t="s">
        <v>95</v>
      </c>
      <c r="B107" t="s">
        <v>114</v>
      </c>
      <c r="C107" s="1">
        <v>231</v>
      </c>
      <c r="D107" s="1">
        <v>252</v>
      </c>
      <c r="E107" s="1">
        <v>94</v>
      </c>
      <c r="F107" s="1">
        <f>+Tabla13[[#This Row],[beer_servings]]+5*Tabla13[[#This Row],[spirit_servings]]+Tabla13[[#This Row],[wine_servings]]</f>
        <v>1585</v>
      </c>
    </row>
    <row r="108" spans="1:6" x14ac:dyDescent="0.45">
      <c r="A108" t="s">
        <v>95</v>
      </c>
      <c r="B108" t="s">
        <v>115</v>
      </c>
      <c r="C108" s="1">
        <v>230</v>
      </c>
      <c r="D108" s="1">
        <v>87</v>
      </c>
      <c r="E108" s="1">
        <v>254</v>
      </c>
      <c r="F108" s="1">
        <f>+Tabla13[[#This Row],[beer_servings]]+5*Tabla13[[#This Row],[spirit_servings]]+Tabla13[[#This Row],[wine_servings]]</f>
        <v>919</v>
      </c>
    </row>
    <row r="109" spans="1:6" x14ac:dyDescent="0.45">
      <c r="A109" t="s">
        <v>95</v>
      </c>
      <c r="B109" t="s">
        <v>116</v>
      </c>
      <c r="C109" s="1">
        <v>185</v>
      </c>
      <c r="D109" s="1">
        <v>100</v>
      </c>
      <c r="E109" s="1">
        <v>280</v>
      </c>
      <c r="F109" s="1">
        <f>+Tabla13[[#This Row],[beer_servings]]+5*Tabla13[[#This Row],[spirit_servings]]+Tabla13[[#This Row],[wine_servings]]</f>
        <v>965</v>
      </c>
    </row>
    <row r="110" spans="1:6" x14ac:dyDescent="0.45">
      <c r="A110" t="s">
        <v>95</v>
      </c>
      <c r="B110" t="s">
        <v>117</v>
      </c>
      <c r="C110" s="1">
        <v>263</v>
      </c>
      <c r="D110" s="1">
        <v>133</v>
      </c>
      <c r="E110" s="1">
        <v>97</v>
      </c>
      <c r="F110" s="1">
        <f>+Tabla13[[#This Row],[beer_servings]]+5*Tabla13[[#This Row],[spirit_servings]]+Tabla13[[#This Row],[wine_servings]]</f>
        <v>1025</v>
      </c>
    </row>
    <row r="111" spans="1:6" x14ac:dyDescent="0.45">
      <c r="A111" t="s">
        <v>95</v>
      </c>
      <c r="B111" t="s">
        <v>118</v>
      </c>
      <c r="C111" s="1">
        <v>284</v>
      </c>
      <c r="D111" s="1">
        <v>157</v>
      </c>
      <c r="E111" s="1">
        <v>112</v>
      </c>
      <c r="F111" s="1">
        <f>+Tabla13[[#This Row],[beer_servings]]+5*Tabla13[[#This Row],[spirit_servings]]+Tabla13[[#This Row],[wine_servings]]</f>
        <v>1181</v>
      </c>
    </row>
    <row r="112" spans="1:6" x14ac:dyDescent="0.45">
      <c r="A112" t="s">
        <v>95</v>
      </c>
      <c r="B112" t="s">
        <v>119</v>
      </c>
      <c r="C112" s="1">
        <v>279</v>
      </c>
      <c r="D112" s="1">
        <v>75</v>
      </c>
      <c r="E112" s="1">
        <v>191</v>
      </c>
      <c r="F112" s="1">
        <f>+Tabla13[[#This Row],[beer_servings]]+5*Tabla13[[#This Row],[spirit_servings]]+Tabla13[[#This Row],[wine_servings]]</f>
        <v>845</v>
      </c>
    </row>
    <row r="113" spans="1:6" x14ac:dyDescent="0.45">
      <c r="A113" t="s">
        <v>95</v>
      </c>
      <c r="B113" t="s">
        <v>120</v>
      </c>
      <c r="C113" s="1">
        <v>283</v>
      </c>
      <c r="D113" s="1">
        <v>131</v>
      </c>
      <c r="E113" s="1">
        <v>127</v>
      </c>
      <c r="F113" s="1">
        <f>+Tabla13[[#This Row],[beer_servings]]+5*Tabla13[[#This Row],[spirit_servings]]+Tabla13[[#This Row],[wine_servings]]</f>
        <v>1065</v>
      </c>
    </row>
    <row r="114" spans="1:6" x14ac:dyDescent="0.45">
      <c r="A114" t="s">
        <v>95</v>
      </c>
      <c r="B114" t="s">
        <v>121</v>
      </c>
      <c r="C114" s="1">
        <v>224</v>
      </c>
      <c r="D114" s="1">
        <v>194</v>
      </c>
      <c r="E114" s="1">
        <v>59</v>
      </c>
      <c r="F114" s="1">
        <f>+Tabla13[[#This Row],[beer_servings]]+5*Tabla13[[#This Row],[spirit_servings]]+Tabla13[[#This Row],[wine_servings]]</f>
        <v>1253</v>
      </c>
    </row>
    <row r="115" spans="1:6" x14ac:dyDescent="0.45">
      <c r="A115" t="s">
        <v>95</v>
      </c>
      <c r="B115" t="s">
        <v>122</v>
      </c>
      <c r="C115" s="1">
        <v>251</v>
      </c>
      <c r="D115" s="1">
        <v>88</v>
      </c>
      <c r="E115" s="1">
        <v>190</v>
      </c>
      <c r="F115" s="1">
        <f>+Tabla13[[#This Row],[beer_servings]]+5*Tabla13[[#This Row],[spirit_servings]]+Tabla13[[#This Row],[wine_servings]]</f>
        <v>881</v>
      </c>
    </row>
    <row r="116" spans="1:6" x14ac:dyDescent="0.45">
      <c r="A116" t="s">
        <v>95</v>
      </c>
      <c r="B116" t="s">
        <v>123</v>
      </c>
      <c r="C116" s="1">
        <v>206</v>
      </c>
      <c r="D116" s="1">
        <v>237</v>
      </c>
      <c r="E116" s="1">
        <v>45</v>
      </c>
      <c r="F116" s="1">
        <f>+Tabla13[[#This Row],[beer_servings]]+5*Tabla13[[#This Row],[spirit_servings]]+Tabla13[[#This Row],[wine_servings]]</f>
        <v>1436</v>
      </c>
    </row>
    <row r="117" spans="1:6" x14ac:dyDescent="0.45">
      <c r="A117" t="s">
        <v>95</v>
      </c>
      <c r="B117" t="s">
        <v>124</v>
      </c>
      <c r="C117" s="1">
        <v>133</v>
      </c>
      <c r="D117" s="1">
        <v>112</v>
      </c>
      <c r="E117" s="1">
        <v>218</v>
      </c>
      <c r="F117" s="1">
        <f>+Tabla13[[#This Row],[beer_servings]]+5*Tabla13[[#This Row],[spirit_servings]]+Tabla13[[#This Row],[wine_servings]]</f>
        <v>911</v>
      </c>
    </row>
    <row r="118" spans="1:6" x14ac:dyDescent="0.45">
      <c r="A118" t="s">
        <v>95</v>
      </c>
      <c r="B118" t="s">
        <v>125</v>
      </c>
      <c r="C118" s="1">
        <v>192</v>
      </c>
      <c r="D118" s="1">
        <v>154</v>
      </c>
      <c r="E118" s="1">
        <v>113</v>
      </c>
      <c r="F118" s="1">
        <f>+Tabla13[[#This Row],[beer_servings]]+5*Tabla13[[#This Row],[spirit_servings]]+Tabla13[[#This Row],[wine_servings]]</f>
        <v>1075</v>
      </c>
    </row>
    <row r="119" spans="1:6" x14ac:dyDescent="0.45">
      <c r="A119" t="s">
        <v>95</v>
      </c>
      <c r="B119" t="s">
        <v>126</v>
      </c>
      <c r="C119" s="1">
        <v>152</v>
      </c>
      <c r="D119" s="1">
        <v>60</v>
      </c>
      <c r="E119" s="1">
        <v>186</v>
      </c>
      <c r="F119" s="1">
        <f>+Tabla13[[#This Row],[beer_servings]]+5*Tabla13[[#This Row],[spirit_servings]]+Tabla13[[#This Row],[wine_servings]]</f>
        <v>638</v>
      </c>
    </row>
    <row r="120" spans="1:6" x14ac:dyDescent="0.45">
      <c r="A120" t="s">
        <v>95</v>
      </c>
      <c r="B120" t="s">
        <v>127</v>
      </c>
      <c r="C120" s="1">
        <v>169</v>
      </c>
      <c r="D120" s="1">
        <v>71</v>
      </c>
      <c r="E120" s="1">
        <v>129</v>
      </c>
      <c r="F120" s="1">
        <f>+Tabla13[[#This Row],[beer_servings]]+5*Tabla13[[#This Row],[spirit_servings]]+Tabla13[[#This Row],[wine_servings]]</f>
        <v>653</v>
      </c>
    </row>
    <row r="121" spans="1:6" x14ac:dyDescent="0.45">
      <c r="A121" t="s">
        <v>95</v>
      </c>
      <c r="B121" t="s">
        <v>128</v>
      </c>
      <c r="C121" s="1">
        <v>233</v>
      </c>
      <c r="D121" s="1">
        <v>61</v>
      </c>
      <c r="E121" s="1">
        <v>78</v>
      </c>
      <c r="F121" s="1">
        <f>+Tabla13[[#This Row],[beer_servings]]+5*Tabla13[[#This Row],[spirit_servings]]+Tabla13[[#This Row],[wine_servings]]</f>
        <v>616</v>
      </c>
    </row>
    <row r="122" spans="1:6" x14ac:dyDescent="0.45">
      <c r="A122" t="s">
        <v>95</v>
      </c>
      <c r="B122" t="s">
        <v>129</v>
      </c>
      <c r="C122" s="1">
        <v>149</v>
      </c>
      <c r="D122" s="1">
        <v>100</v>
      </c>
      <c r="E122" s="1">
        <v>120</v>
      </c>
      <c r="F122" s="1">
        <f>+Tabla13[[#This Row],[beer_servings]]+5*Tabla13[[#This Row],[spirit_servings]]+Tabla13[[#This Row],[wine_servings]]</f>
        <v>769</v>
      </c>
    </row>
    <row r="123" spans="1:6" x14ac:dyDescent="0.45">
      <c r="A123" t="s">
        <v>95</v>
      </c>
      <c r="B123" t="s">
        <v>130</v>
      </c>
      <c r="C123" s="1">
        <v>85</v>
      </c>
      <c r="D123" s="1">
        <v>42</v>
      </c>
      <c r="E123" s="1">
        <v>237</v>
      </c>
      <c r="F123" s="1">
        <f>+Tabla13[[#This Row],[beer_servings]]+5*Tabla13[[#This Row],[spirit_servings]]+Tabla13[[#This Row],[wine_servings]]</f>
        <v>532</v>
      </c>
    </row>
    <row r="124" spans="1:6" x14ac:dyDescent="0.45">
      <c r="A124" t="s">
        <v>95</v>
      </c>
      <c r="B124" t="s">
        <v>131</v>
      </c>
      <c r="C124" s="1">
        <v>109</v>
      </c>
      <c r="D124" s="1">
        <v>226</v>
      </c>
      <c r="E124" s="1">
        <v>18</v>
      </c>
      <c r="F124" s="1">
        <f>+Tabla13[[#This Row],[beer_servings]]+5*Tabla13[[#This Row],[spirit_servings]]+Tabla13[[#This Row],[wine_servings]]</f>
        <v>1257</v>
      </c>
    </row>
    <row r="125" spans="1:6" x14ac:dyDescent="0.45">
      <c r="A125" t="s">
        <v>95</v>
      </c>
      <c r="B125" t="s">
        <v>132</v>
      </c>
      <c r="C125" s="1">
        <v>52</v>
      </c>
      <c r="D125" s="1">
        <v>100</v>
      </c>
      <c r="E125" s="1">
        <v>149</v>
      </c>
      <c r="F125" s="1">
        <f>+Tabla13[[#This Row],[beer_servings]]+5*Tabla13[[#This Row],[spirit_servings]]+Tabla13[[#This Row],[wine_servings]]</f>
        <v>701</v>
      </c>
    </row>
    <row r="126" spans="1:6" x14ac:dyDescent="0.45">
      <c r="A126" t="s">
        <v>95</v>
      </c>
      <c r="B126" t="s">
        <v>133</v>
      </c>
      <c r="C126" s="1">
        <v>89</v>
      </c>
      <c r="D126" s="1">
        <v>132</v>
      </c>
      <c r="E126" s="1">
        <v>54</v>
      </c>
      <c r="F126" s="1">
        <f>+Tabla13[[#This Row],[beer_servings]]+5*Tabla13[[#This Row],[spirit_servings]]+Tabla13[[#This Row],[wine_servings]]</f>
        <v>803</v>
      </c>
    </row>
    <row r="127" spans="1:6" x14ac:dyDescent="0.45">
      <c r="A127" t="s">
        <v>95</v>
      </c>
      <c r="B127" t="s">
        <v>134</v>
      </c>
      <c r="C127" s="1">
        <v>31</v>
      </c>
      <c r="D127" s="1">
        <v>114</v>
      </c>
      <c r="E127" s="1">
        <v>128</v>
      </c>
      <c r="F127" s="1">
        <f>+Tabla13[[#This Row],[beer_servings]]+5*Tabla13[[#This Row],[spirit_servings]]+Tabla13[[#This Row],[wine_servings]]</f>
        <v>729</v>
      </c>
    </row>
    <row r="128" spans="1:6" x14ac:dyDescent="0.45">
      <c r="A128" t="s">
        <v>95</v>
      </c>
      <c r="B128" t="s">
        <v>135</v>
      </c>
      <c r="C128" s="1">
        <v>76</v>
      </c>
      <c r="D128" s="1">
        <v>173</v>
      </c>
      <c r="E128" s="1">
        <v>8</v>
      </c>
      <c r="F128" s="1">
        <f>+Tabla13[[#This Row],[beer_servings]]+5*Tabla13[[#This Row],[spirit_servings]]+Tabla13[[#This Row],[wine_servings]]</f>
        <v>949</v>
      </c>
    </row>
    <row r="129" spans="1:6" x14ac:dyDescent="0.45">
      <c r="A129" t="s">
        <v>95</v>
      </c>
      <c r="B129" t="s">
        <v>136</v>
      </c>
      <c r="C129" s="1">
        <v>106</v>
      </c>
      <c r="D129" s="1">
        <v>27</v>
      </c>
      <c r="E129" s="1">
        <v>86</v>
      </c>
      <c r="F129" s="1">
        <f>+Tabla13[[#This Row],[beer_servings]]+5*Tabla13[[#This Row],[spirit_servings]]+Tabla13[[#This Row],[wine_servings]]</f>
        <v>327</v>
      </c>
    </row>
    <row r="130" spans="1:6" x14ac:dyDescent="0.45">
      <c r="A130" t="s">
        <v>95</v>
      </c>
      <c r="B130" t="s">
        <v>137</v>
      </c>
      <c r="C130" s="1">
        <v>21</v>
      </c>
      <c r="D130" s="1">
        <v>179</v>
      </c>
      <c r="E130" s="1">
        <v>11</v>
      </c>
      <c r="F130" s="1">
        <f>+Tabla13[[#This Row],[beer_servings]]+5*Tabla13[[#This Row],[spirit_servings]]+Tabla13[[#This Row],[wine_servings]]</f>
        <v>927</v>
      </c>
    </row>
    <row r="131" spans="1:6" x14ac:dyDescent="0.45">
      <c r="A131" t="s">
        <v>95</v>
      </c>
      <c r="B131" t="s">
        <v>138</v>
      </c>
      <c r="C131" s="1">
        <v>21</v>
      </c>
      <c r="D131" s="1">
        <v>46</v>
      </c>
      <c r="E131" s="1">
        <v>5</v>
      </c>
      <c r="F131" s="1">
        <f>+Tabla13[[#This Row],[beer_servings]]+5*Tabla13[[#This Row],[spirit_servings]]+Tabla13[[#This Row],[wine_servings]]</f>
        <v>256</v>
      </c>
    </row>
    <row r="132" spans="1:6" x14ac:dyDescent="0.45">
      <c r="A132" t="s">
        <v>139</v>
      </c>
      <c r="B132" t="s">
        <v>140</v>
      </c>
      <c r="C132" s="1">
        <v>199</v>
      </c>
      <c r="D132" s="1">
        <v>438</v>
      </c>
      <c r="E132" s="1">
        <v>28</v>
      </c>
      <c r="F132" s="1">
        <f>+Tabla13[[#This Row],[beer_servings]]+5*Tabla13[[#This Row],[spirit_servings]]+Tabla13[[#This Row],[wine_servings]]</f>
        <v>2417</v>
      </c>
    </row>
    <row r="133" spans="1:6" x14ac:dyDescent="0.45">
      <c r="A133" t="s">
        <v>139</v>
      </c>
      <c r="B133" t="s">
        <v>141</v>
      </c>
      <c r="C133" s="1">
        <v>171</v>
      </c>
      <c r="D133" s="1">
        <v>315</v>
      </c>
      <c r="E133" s="1">
        <v>71</v>
      </c>
      <c r="F133" s="1">
        <f>+Tabla13[[#This Row],[beer_servings]]+5*Tabla13[[#This Row],[spirit_servings]]+Tabla13[[#This Row],[wine_servings]]</f>
        <v>1817</v>
      </c>
    </row>
    <row r="134" spans="1:6" x14ac:dyDescent="0.45">
      <c r="A134" t="s">
        <v>139</v>
      </c>
      <c r="B134" t="s">
        <v>142</v>
      </c>
      <c r="C134" s="1">
        <v>249</v>
      </c>
      <c r="D134" s="1">
        <v>158</v>
      </c>
      <c r="E134" s="1">
        <v>84</v>
      </c>
      <c r="F134" s="1">
        <f>+Tabla13[[#This Row],[beer_servings]]+5*Tabla13[[#This Row],[spirit_servings]]+Tabla13[[#This Row],[wine_servings]]</f>
        <v>1123</v>
      </c>
    </row>
    <row r="135" spans="1:6" x14ac:dyDescent="0.45">
      <c r="A135" t="s">
        <v>139</v>
      </c>
      <c r="B135" t="s">
        <v>143</v>
      </c>
      <c r="C135" s="1">
        <v>240</v>
      </c>
      <c r="D135" s="1">
        <v>122</v>
      </c>
      <c r="E135" s="1">
        <v>100</v>
      </c>
      <c r="F135" s="1">
        <f>+Tabla13[[#This Row],[beer_servings]]+5*Tabla13[[#This Row],[spirit_servings]]+Tabla13[[#This Row],[wine_servings]]</f>
        <v>950</v>
      </c>
    </row>
    <row r="136" spans="1:6" x14ac:dyDescent="0.45">
      <c r="A136" t="s">
        <v>139</v>
      </c>
      <c r="B136" t="s">
        <v>144</v>
      </c>
      <c r="C136" s="1">
        <v>194</v>
      </c>
      <c r="D136" s="1">
        <v>205</v>
      </c>
      <c r="E136" s="1">
        <v>32</v>
      </c>
      <c r="F136" s="1">
        <f>+Tabla13[[#This Row],[beer_servings]]+5*Tabla13[[#This Row],[spirit_servings]]+Tabla13[[#This Row],[wine_servings]]</f>
        <v>1251</v>
      </c>
    </row>
    <row r="137" spans="1:6" x14ac:dyDescent="0.45">
      <c r="A137" t="s">
        <v>139</v>
      </c>
      <c r="B137" t="s">
        <v>145</v>
      </c>
      <c r="C137" s="1">
        <v>285</v>
      </c>
      <c r="D137" s="1">
        <v>104</v>
      </c>
      <c r="E137" s="1">
        <v>18</v>
      </c>
      <c r="F137" s="1">
        <f>+Tabla13[[#This Row],[beer_servings]]+5*Tabla13[[#This Row],[spirit_servings]]+Tabla13[[#This Row],[wine_servings]]</f>
        <v>823</v>
      </c>
    </row>
    <row r="138" spans="1:6" x14ac:dyDescent="0.45">
      <c r="A138" t="s">
        <v>139</v>
      </c>
      <c r="B138" t="s">
        <v>146</v>
      </c>
      <c r="C138" s="1">
        <v>263</v>
      </c>
      <c r="D138" s="1">
        <v>114</v>
      </c>
      <c r="E138" s="1">
        <v>8</v>
      </c>
      <c r="F138" s="1">
        <f>+Tabla13[[#This Row],[beer_servings]]+5*Tabla13[[#This Row],[spirit_servings]]+Tabla13[[#This Row],[wine_servings]]</f>
        <v>841</v>
      </c>
    </row>
    <row r="139" spans="1:6" x14ac:dyDescent="0.45">
      <c r="A139" t="s">
        <v>139</v>
      </c>
      <c r="B139" t="s">
        <v>147</v>
      </c>
      <c r="C139" s="1">
        <v>52</v>
      </c>
      <c r="D139" s="1">
        <v>286</v>
      </c>
      <c r="E139" s="1">
        <v>26</v>
      </c>
      <c r="F139" s="1">
        <f>+Tabla13[[#This Row],[beer_servings]]+5*Tabla13[[#This Row],[spirit_servings]]+Tabla13[[#This Row],[wine_servings]]</f>
        <v>1508</v>
      </c>
    </row>
    <row r="140" spans="1:6" x14ac:dyDescent="0.45">
      <c r="A140" t="s">
        <v>139</v>
      </c>
      <c r="B140" t="s">
        <v>148</v>
      </c>
      <c r="C140" s="1">
        <v>197</v>
      </c>
      <c r="D140" s="1">
        <v>156</v>
      </c>
      <c r="E140" s="1">
        <v>7</v>
      </c>
      <c r="F140" s="1">
        <f>+Tabla13[[#This Row],[beer_servings]]+5*Tabla13[[#This Row],[spirit_servings]]+Tabla13[[#This Row],[wine_servings]]</f>
        <v>984</v>
      </c>
    </row>
    <row r="141" spans="1:6" x14ac:dyDescent="0.45">
      <c r="A141" t="s">
        <v>139</v>
      </c>
      <c r="B141" t="s">
        <v>149</v>
      </c>
      <c r="C141" s="1">
        <v>122</v>
      </c>
      <c r="D141" s="1">
        <v>176</v>
      </c>
      <c r="E141" s="1">
        <v>51</v>
      </c>
      <c r="F141" s="1">
        <f>+Tabla13[[#This Row],[beer_servings]]+5*Tabla13[[#This Row],[spirit_servings]]+Tabla13[[#This Row],[wine_servings]]</f>
        <v>1053</v>
      </c>
    </row>
    <row r="142" spans="1:6" x14ac:dyDescent="0.45">
      <c r="A142" t="s">
        <v>139</v>
      </c>
      <c r="B142" t="s">
        <v>150</v>
      </c>
      <c r="C142" s="1">
        <v>143</v>
      </c>
      <c r="D142" s="1">
        <v>173</v>
      </c>
      <c r="E142" s="1">
        <v>36</v>
      </c>
      <c r="F142" s="1">
        <f>+Tabla13[[#This Row],[beer_servings]]+5*Tabla13[[#This Row],[spirit_servings]]+Tabla13[[#This Row],[wine_servings]]</f>
        <v>1044</v>
      </c>
    </row>
    <row r="143" spans="1:6" x14ac:dyDescent="0.45">
      <c r="A143" t="s">
        <v>139</v>
      </c>
      <c r="B143" t="s">
        <v>151</v>
      </c>
      <c r="C143" s="1">
        <v>120</v>
      </c>
      <c r="D143" s="1">
        <v>221</v>
      </c>
      <c r="E143" s="1">
        <v>11</v>
      </c>
      <c r="F143" s="1">
        <f>+Tabla13[[#This Row],[beer_servings]]+5*Tabla13[[#This Row],[spirit_servings]]+Tabla13[[#This Row],[wine_servings]]</f>
        <v>1236</v>
      </c>
    </row>
    <row r="144" spans="1:6" x14ac:dyDescent="0.45">
      <c r="A144" t="s">
        <v>139</v>
      </c>
      <c r="B144" t="s">
        <v>152</v>
      </c>
      <c r="C144" s="1">
        <v>193</v>
      </c>
      <c r="D144" s="1">
        <v>147</v>
      </c>
      <c r="E144" s="1">
        <v>9</v>
      </c>
      <c r="F144" s="1">
        <f>+Tabla13[[#This Row],[beer_servings]]+5*Tabla13[[#This Row],[spirit_servings]]+Tabla13[[#This Row],[wine_servings]]</f>
        <v>937</v>
      </c>
    </row>
    <row r="145" spans="1:6" x14ac:dyDescent="0.45">
      <c r="A145" t="s">
        <v>139</v>
      </c>
      <c r="B145" t="s">
        <v>153</v>
      </c>
      <c r="C145" s="1">
        <v>1</v>
      </c>
      <c r="D145" s="1">
        <v>326</v>
      </c>
      <c r="E145" s="1">
        <v>1</v>
      </c>
      <c r="F145" s="1">
        <f>+Tabla13[[#This Row],[beer_servings]]+5*Tabla13[[#This Row],[spirit_servings]]+Tabla13[[#This Row],[wine_servings]]</f>
        <v>1632</v>
      </c>
    </row>
    <row r="146" spans="1:6" x14ac:dyDescent="0.45">
      <c r="A146" t="s">
        <v>139</v>
      </c>
      <c r="B146" t="s">
        <v>154</v>
      </c>
      <c r="C146" s="1">
        <v>238</v>
      </c>
      <c r="D146" s="1">
        <v>68</v>
      </c>
      <c r="E146" s="1">
        <v>5</v>
      </c>
      <c r="F146" s="1">
        <f>+Tabla13[[#This Row],[beer_servings]]+5*Tabla13[[#This Row],[spirit_servings]]+Tabla13[[#This Row],[wine_servings]]</f>
        <v>583</v>
      </c>
    </row>
    <row r="147" spans="1:6" x14ac:dyDescent="0.45">
      <c r="A147" t="s">
        <v>139</v>
      </c>
      <c r="B147" t="s">
        <v>155</v>
      </c>
      <c r="C147" s="1">
        <v>102</v>
      </c>
      <c r="D147" s="1">
        <v>128</v>
      </c>
      <c r="E147" s="1">
        <v>45</v>
      </c>
      <c r="F147" s="1">
        <f>+Tabla13[[#This Row],[beer_servings]]+5*Tabla13[[#This Row],[spirit_servings]]+Tabla13[[#This Row],[wine_servings]]</f>
        <v>787</v>
      </c>
    </row>
    <row r="148" spans="1:6" x14ac:dyDescent="0.45">
      <c r="A148" t="s">
        <v>139</v>
      </c>
      <c r="B148" t="s">
        <v>156</v>
      </c>
      <c r="C148" s="1">
        <v>149</v>
      </c>
      <c r="D148" s="1">
        <v>87</v>
      </c>
      <c r="E148" s="1">
        <v>11</v>
      </c>
      <c r="F148" s="1">
        <f>+Tabla13[[#This Row],[beer_servings]]+5*Tabla13[[#This Row],[spirit_servings]]+Tabla13[[#This Row],[wine_servings]]</f>
        <v>595</v>
      </c>
    </row>
    <row r="149" spans="1:6" x14ac:dyDescent="0.45">
      <c r="A149" t="s">
        <v>139</v>
      </c>
      <c r="B149" t="s">
        <v>157</v>
      </c>
      <c r="C149" s="1">
        <v>93</v>
      </c>
      <c r="D149" s="1">
        <v>137</v>
      </c>
      <c r="E149" s="1">
        <v>5</v>
      </c>
      <c r="F149" s="1">
        <f>+Tabla13[[#This Row],[beer_servings]]+5*Tabla13[[#This Row],[spirit_servings]]+Tabla13[[#This Row],[wine_servings]]</f>
        <v>783</v>
      </c>
    </row>
    <row r="150" spans="1:6" x14ac:dyDescent="0.45">
      <c r="A150" t="s">
        <v>139</v>
      </c>
      <c r="B150" t="s">
        <v>158</v>
      </c>
      <c r="C150" s="1">
        <v>78</v>
      </c>
      <c r="D150" s="1">
        <v>118</v>
      </c>
      <c r="E150" s="1">
        <v>1</v>
      </c>
      <c r="F150" s="1">
        <f>+Tabla13[[#This Row],[beer_servings]]+5*Tabla13[[#This Row],[spirit_servings]]+Tabla13[[#This Row],[wine_servings]]</f>
        <v>669</v>
      </c>
    </row>
    <row r="151" spans="1:6" x14ac:dyDescent="0.45">
      <c r="A151" t="s">
        <v>139</v>
      </c>
      <c r="B151" t="s">
        <v>159</v>
      </c>
      <c r="C151" s="1">
        <v>82</v>
      </c>
      <c r="D151" s="1">
        <v>97</v>
      </c>
      <c r="E151" s="1">
        <v>9</v>
      </c>
      <c r="F151" s="1">
        <f>+Tabla13[[#This Row],[beer_servings]]+5*Tabla13[[#This Row],[spirit_servings]]+Tabla13[[#This Row],[wine_servings]]</f>
        <v>576</v>
      </c>
    </row>
    <row r="152" spans="1:6" x14ac:dyDescent="0.45">
      <c r="A152" t="s">
        <v>139</v>
      </c>
      <c r="B152" t="s">
        <v>160</v>
      </c>
      <c r="C152" s="1">
        <v>69</v>
      </c>
      <c r="D152" s="1">
        <v>98</v>
      </c>
      <c r="E152" s="1">
        <v>2</v>
      </c>
      <c r="F152" s="1">
        <f>+Tabla13[[#This Row],[beer_servings]]+5*Tabla13[[#This Row],[spirit_servings]]+Tabla13[[#This Row],[wine_servings]]</f>
        <v>561</v>
      </c>
    </row>
    <row r="153" spans="1:6" x14ac:dyDescent="0.45">
      <c r="A153" t="s">
        <v>139</v>
      </c>
      <c r="B153" t="s">
        <v>161</v>
      </c>
      <c r="C153" s="1">
        <v>52</v>
      </c>
      <c r="D153" s="1">
        <v>69</v>
      </c>
      <c r="E153" s="1">
        <v>2</v>
      </c>
      <c r="F153" s="1">
        <f>+Tabla13[[#This Row],[beer_servings]]+5*Tabla13[[#This Row],[spirit_servings]]+Tabla13[[#This Row],[wine_servings]]</f>
        <v>399</v>
      </c>
    </row>
    <row r="154" spans="1:6" x14ac:dyDescent="0.45">
      <c r="A154" t="s">
        <v>139</v>
      </c>
      <c r="B154" t="s">
        <v>162</v>
      </c>
      <c r="C154" s="1">
        <v>53</v>
      </c>
      <c r="D154" s="1">
        <v>69</v>
      </c>
      <c r="E154" s="1">
        <v>2</v>
      </c>
      <c r="F154" s="1">
        <f>+Tabla13[[#This Row],[beer_servings]]+5*Tabla13[[#This Row],[spirit_servings]]+Tabla13[[#This Row],[wine_servings]]</f>
        <v>400</v>
      </c>
    </row>
    <row r="155" spans="1:6" x14ac:dyDescent="0.45">
      <c r="A155" t="s">
        <v>163</v>
      </c>
      <c r="B155" t="s">
        <v>164</v>
      </c>
      <c r="C155" s="1">
        <v>261</v>
      </c>
      <c r="D155" s="1">
        <v>72</v>
      </c>
      <c r="E155" s="1">
        <v>212</v>
      </c>
      <c r="F155" s="1">
        <f>+Tabla13[[#This Row],[beer_servings]]+5*Tabla13[[#This Row],[spirit_servings]]+Tabla13[[#This Row],[wine_servings]]</f>
        <v>833</v>
      </c>
    </row>
    <row r="156" spans="1:6" x14ac:dyDescent="0.45">
      <c r="A156" t="s">
        <v>163</v>
      </c>
      <c r="B156" t="s">
        <v>165</v>
      </c>
      <c r="C156" s="1">
        <v>203</v>
      </c>
      <c r="D156" s="1">
        <v>79</v>
      </c>
      <c r="E156" s="1">
        <v>175</v>
      </c>
      <c r="F156" s="1">
        <f>+Tabla13[[#This Row],[beer_servings]]+5*Tabla13[[#This Row],[spirit_servings]]+Tabla13[[#This Row],[wine_servings]]</f>
        <v>773</v>
      </c>
    </row>
    <row r="157" spans="1:6" x14ac:dyDescent="0.45">
      <c r="A157" t="s">
        <v>163</v>
      </c>
      <c r="B157" t="s">
        <v>166</v>
      </c>
      <c r="C157" s="1">
        <v>188</v>
      </c>
      <c r="D157" s="1">
        <v>200</v>
      </c>
      <c r="E157" s="1">
        <v>7</v>
      </c>
      <c r="F157" s="1">
        <f>+Tabla13[[#This Row],[beer_servings]]+5*Tabla13[[#This Row],[spirit_servings]]+Tabla13[[#This Row],[wine_servings]]</f>
        <v>1195</v>
      </c>
    </row>
    <row r="158" spans="1:6" x14ac:dyDescent="0.45">
      <c r="A158" t="s">
        <v>163</v>
      </c>
      <c r="B158" t="s">
        <v>167</v>
      </c>
      <c r="C158" s="1">
        <v>306</v>
      </c>
      <c r="D158" s="1">
        <v>63</v>
      </c>
      <c r="E158" s="1">
        <v>23</v>
      </c>
      <c r="F158" s="1">
        <f>+Tabla13[[#This Row],[beer_servings]]+5*Tabla13[[#This Row],[spirit_servings]]+Tabla13[[#This Row],[wine_servings]]</f>
        <v>644</v>
      </c>
    </row>
    <row r="159" spans="1:6" x14ac:dyDescent="0.45">
      <c r="A159" t="s">
        <v>163</v>
      </c>
      <c r="B159" t="s">
        <v>168</v>
      </c>
      <c r="C159" s="1">
        <v>0</v>
      </c>
      <c r="D159" s="1">
        <v>254</v>
      </c>
      <c r="E159" s="1">
        <v>74</v>
      </c>
      <c r="F159" s="1">
        <f>+Tabla13[[#This Row],[beer_servings]]+5*Tabla13[[#This Row],[spirit_servings]]+Tabla13[[#This Row],[wine_servings]]</f>
        <v>1344</v>
      </c>
    </row>
    <row r="160" spans="1:6" x14ac:dyDescent="0.45">
      <c r="A160" t="s">
        <v>163</v>
      </c>
      <c r="B160" t="s">
        <v>169</v>
      </c>
      <c r="C160" s="1">
        <v>105</v>
      </c>
      <c r="D160" s="1">
        <v>18</v>
      </c>
      <c r="E160" s="1">
        <v>24</v>
      </c>
      <c r="F160" s="1">
        <f>+Tabla13[[#This Row],[beer_servings]]+5*Tabla13[[#This Row],[spirit_servings]]+Tabla13[[#This Row],[wine_servings]]</f>
        <v>219</v>
      </c>
    </row>
    <row r="161" spans="1:6" x14ac:dyDescent="0.45">
      <c r="A161" t="s">
        <v>163</v>
      </c>
      <c r="B161" t="s">
        <v>170</v>
      </c>
      <c r="C161" s="1">
        <v>62</v>
      </c>
      <c r="D161" s="1">
        <v>50</v>
      </c>
      <c r="E161" s="1">
        <v>18</v>
      </c>
      <c r="F161" s="1">
        <f>+Tabla13[[#This Row],[beer_servings]]+5*Tabla13[[#This Row],[spirit_servings]]+Tabla13[[#This Row],[wine_servings]]</f>
        <v>330</v>
      </c>
    </row>
    <row r="162" spans="1:6" x14ac:dyDescent="0.45">
      <c r="A162" t="s">
        <v>163</v>
      </c>
      <c r="B162" t="s">
        <v>171</v>
      </c>
      <c r="C162" s="1">
        <v>77</v>
      </c>
      <c r="D162" s="1">
        <v>35</v>
      </c>
      <c r="E162" s="1">
        <v>1</v>
      </c>
      <c r="F162" s="1">
        <f>+Tabla13[[#This Row],[beer_servings]]+5*Tabla13[[#This Row],[spirit_servings]]+Tabla13[[#This Row],[wine_servings]]</f>
        <v>253</v>
      </c>
    </row>
    <row r="163" spans="1:6" x14ac:dyDescent="0.45">
      <c r="A163" t="s">
        <v>163</v>
      </c>
      <c r="B163" t="s">
        <v>172</v>
      </c>
      <c r="C163" s="1">
        <v>44</v>
      </c>
      <c r="D163" s="1">
        <v>39</v>
      </c>
      <c r="E163" s="1">
        <v>1</v>
      </c>
      <c r="F163" s="1">
        <f>+Tabla13[[#This Row],[beer_servings]]+5*Tabla13[[#This Row],[spirit_servings]]+Tabla13[[#This Row],[wine_servings]]</f>
        <v>240</v>
      </c>
    </row>
    <row r="164" spans="1:6" x14ac:dyDescent="0.45">
      <c r="A164" t="s">
        <v>163</v>
      </c>
      <c r="B164" t="s">
        <v>173</v>
      </c>
      <c r="C164" s="1">
        <v>56</v>
      </c>
      <c r="D164" s="1">
        <v>11</v>
      </c>
      <c r="E164" s="1">
        <v>1</v>
      </c>
      <c r="F164" s="1">
        <f>+Tabla13[[#This Row],[beer_servings]]+5*Tabla13[[#This Row],[spirit_servings]]+Tabla13[[#This Row],[wine_servings]]</f>
        <v>112</v>
      </c>
    </row>
    <row r="165" spans="1:6" x14ac:dyDescent="0.45">
      <c r="A165" t="s">
        <v>163</v>
      </c>
      <c r="B165" t="s">
        <v>174</v>
      </c>
      <c r="C165" s="1">
        <v>36</v>
      </c>
      <c r="D165" s="1">
        <v>21</v>
      </c>
      <c r="E165" s="1">
        <v>5</v>
      </c>
      <c r="F165" s="1">
        <f>+Tabla13[[#This Row],[beer_servings]]+5*Tabla13[[#This Row],[spirit_servings]]+Tabla13[[#This Row],[wine_servings]]</f>
        <v>146</v>
      </c>
    </row>
    <row r="166" spans="1:6" x14ac:dyDescent="0.45">
      <c r="A166" t="s">
        <v>163</v>
      </c>
      <c r="B166" t="s">
        <v>175</v>
      </c>
      <c r="C166" s="1">
        <v>21</v>
      </c>
      <c r="D166" s="1">
        <v>34</v>
      </c>
      <c r="E166" s="1">
        <v>1</v>
      </c>
      <c r="F166" s="1">
        <f>+Tabla13[[#This Row],[beer_servings]]+5*Tabla13[[#This Row],[spirit_servings]]+Tabla13[[#This Row],[wine_servings]]</f>
        <v>192</v>
      </c>
    </row>
    <row r="167" spans="1:6" x14ac:dyDescent="0.45">
      <c r="A167" t="s">
        <v>163</v>
      </c>
      <c r="B167" t="s">
        <v>176</v>
      </c>
      <c r="C167" s="1">
        <v>49</v>
      </c>
      <c r="D167" s="1">
        <v>0</v>
      </c>
      <c r="E167" s="1">
        <v>8</v>
      </c>
      <c r="F167" s="1">
        <f>+Tabla13[[#This Row],[beer_servings]]+5*Tabla13[[#This Row],[spirit_servings]]+Tabla13[[#This Row],[wine_servings]]</f>
        <v>57</v>
      </c>
    </row>
    <row r="168" spans="1:6" x14ac:dyDescent="0.45">
      <c r="A168" t="s">
        <v>163</v>
      </c>
      <c r="B168" t="s">
        <v>177</v>
      </c>
      <c r="C168" s="1">
        <v>6</v>
      </c>
      <c r="D168" s="1">
        <v>41</v>
      </c>
      <c r="E168" s="1">
        <v>9</v>
      </c>
      <c r="F168" s="1">
        <f>+Tabla13[[#This Row],[beer_servings]]+5*Tabla13[[#This Row],[spirit_servings]]+Tabla13[[#This Row],[wine_servings]]</f>
        <v>220</v>
      </c>
    </row>
    <row r="169" spans="1:6" x14ac:dyDescent="0.45">
      <c r="A169" t="s">
        <v>163</v>
      </c>
      <c r="B169" t="s">
        <v>178</v>
      </c>
      <c r="C169" s="1">
        <v>21</v>
      </c>
      <c r="D169" s="1">
        <v>18</v>
      </c>
      <c r="E169" s="1">
        <v>11</v>
      </c>
      <c r="F169" s="1">
        <f>+Tabla13[[#This Row],[beer_servings]]+5*Tabla13[[#This Row],[spirit_servings]]+Tabla13[[#This Row],[wine_servings]]</f>
        <v>122</v>
      </c>
    </row>
    <row r="170" spans="1:6" x14ac:dyDescent="0.45">
      <c r="A170" t="s">
        <v>179</v>
      </c>
      <c r="B170" t="s">
        <v>180</v>
      </c>
      <c r="C170" s="1">
        <v>193</v>
      </c>
      <c r="D170" s="1">
        <v>25</v>
      </c>
      <c r="E170" s="1">
        <v>221</v>
      </c>
      <c r="F170" s="1">
        <f>+Tabla13[[#This Row],[beer_servings]]+5*Tabla13[[#This Row],[spirit_servings]]+Tabla13[[#This Row],[wine_servings]]</f>
        <v>539</v>
      </c>
    </row>
    <row r="171" spans="1:6" x14ac:dyDescent="0.45">
      <c r="A171" t="s">
        <v>179</v>
      </c>
      <c r="B171" t="s">
        <v>181</v>
      </c>
      <c r="C171" s="1">
        <v>333</v>
      </c>
      <c r="D171" s="1">
        <v>100</v>
      </c>
      <c r="E171" s="1">
        <v>3</v>
      </c>
      <c r="F171" s="1">
        <f>+Tabla13[[#This Row],[beer_servings]]+5*Tabla13[[#This Row],[spirit_servings]]+Tabla13[[#This Row],[wine_servings]]</f>
        <v>836</v>
      </c>
    </row>
    <row r="172" spans="1:6" x14ac:dyDescent="0.45">
      <c r="A172" t="s">
        <v>179</v>
      </c>
      <c r="B172" t="s">
        <v>182</v>
      </c>
      <c r="C172" s="1">
        <v>130</v>
      </c>
      <c r="D172" s="1">
        <v>124</v>
      </c>
      <c r="E172" s="1">
        <v>172</v>
      </c>
      <c r="F172" s="1">
        <f>+Tabla13[[#This Row],[beer_servings]]+5*Tabla13[[#This Row],[spirit_servings]]+Tabla13[[#This Row],[wine_servings]]</f>
        <v>922</v>
      </c>
    </row>
    <row r="173" spans="1:6" x14ac:dyDescent="0.45">
      <c r="A173" t="s">
        <v>179</v>
      </c>
      <c r="B173" t="s">
        <v>183</v>
      </c>
      <c r="C173" s="1">
        <v>213</v>
      </c>
      <c r="D173" s="1">
        <v>117</v>
      </c>
      <c r="E173" s="1">
        <v>74</v>
      </c>
      <c r="F173" s="1">
        <f>+Tabla13[[#This Row],[beer_servings]]+5*Tabla13[[#This Row],[spirit_servings]]+Tabla13[[#This Row],[wine_servings]]</f>
        <v>872</v>
      </c>
    </row>
    <row r="174" spans="1:6" x14ac:dyDescent="0.45">
      <c r="A174" t="s">
        <v>179</v>
      </c>
      <c r="B174" t="s">
        <v>184</v>
      </c>
      <c r="C174" s="1">
        <v>245</v>
      </c>
      <c r="D174" s="1">
        <v>145</v>
      </c>
      <c r="E174" s="1">
        <v>16</v>
      </c>
      <c r="F174" s="1">
        <f>+Tabla13[[#This Row],[beer_servings]]+5*Tabla13[[#This Row],[spirit_servings]]+Tabla13[[#This Row],[wine_servings]]</f>
        <v>986</v>
      </c>
    </row>
    <row r="175" spans="1:6" x14ac:dyDescent="0.45">
      <c r="A175" t="s">
        <v>179</v>
      </c>
      <c r="B175" t="s">
        <v>185</v>
      </c>
      <c r="C175" s="1">
        <v>93</v>
      </c>
      <c r="D175" s="1">
        <v>302</v>
      </c>
      <c r="E175" s="1">
        <v>1</v>
      </c>
      <c r="F175" s="1">
        <f>+Tabla13[[#This Row],[beer_servings]]+5*Tabla13[[#This Row],[spirit_servings]]+Tabla13[[#This Row],[wine_servings]]</f>
        <v>1604</v>
      </c>
    </row>
    <row r="176" spans="1:6" x14ac:dyDescent="0.45">
      <c r="A176" t="s">
        <v>179</v>
      </c>
      <c r="B176" t="s">
        <v>186</v>
      </c>
      <c r="C176" s="1">
        <v>115</v>
      </c>
      <c r="D176" s="1">
        <v>35</v>
      </c>
      <c r="E176" s="1">
        <v>220</v>
      </c>
      <c r="F176" s="1">
        <f>+Tabla13[[#This Row],[beer_servings]]+5*Tabla13[[#This Row],[spirit_servings]]+Tabla13[[#This Row],[wine_servings]]</f>
        <v>510</v>
      </c>
    </row>
    <row r="177" spans="1:6" x14ac:dyDescent="0.45">
      <c r="A177" t="s">
        <v>179</v>
      </c>
      <c r="B177" t="s">
        <v>187</v>
      </c>
      <c r="C177" s="1">
        <v>163</v>
      </c>
      <c r="D177" s="1">
        <v>160</v>
      </c>
      <c r="E177" s="1">
        <v>21</v>
      </c>
      <c r="F177" s="1">
        <f>+Tabla13[[#This Row],[beer_servings]]+5*Tabla13[[#This Row],[spirit_servings]]+Tabla13[[#This Row],[wine_servings]]</f>
        <v>984</v>
      </c>
    </row>
    <row r="178" spans="1:6" x14ac:dyDescent="0.45">
      <c r="A178" t="s">
        <v>179</v>
      </c>
      <c r="B178" t="s">
        <v>188</v>
      </c>
      <c r="C178" s="1">
        <v>128</v>
      </c>
      <c r="D178" s="1">
        <v>178</v>
      </c>
      <c r="E178" s="1">
        <v>7</v>
      </c>
      <c r="F178" s="1">
        <f>+Tabla13[[#This Row],[beer_servings]]+5*Tabla13[[#This Row],[spirit_servings]]+Tabla13[[#This Row],[wine_servings]]</f>
        <v>1025</v>
      </c>
    </row>
    <row r="179" spans="1:6" x14ac:dyDescent="0.45">
      <c r="A179" t="s">
        <v>179</v>
      </c>
      <c r="B179" t="s">
        <v>189</v>
      </c>
      <c r="C179" s="1">
        <v>159</v>
      </c>
      <c r="D179" s="1">
        <v>76</v>
      </c>
      <c r="E179" s="1">
        <v>3</v>
      </c>
      <c r="F179" s="1">
        <f>+Tabla13[[#This Row],[beer_servings]]+5*Tabla13[[#This Row],[spirit_servings]]+Tabla13[[#This Row],[wine_servings]]</f>
        <v>542</v>
      </c>
    </row>
    <row r="180" spans="1:6" x14ac:dyDescent="0.45">
      <c r="A180" t="s">
        <v>179</v>
      </c>
      <c r="B180" t="s">
        <v>190</v>
      </c>
      <c r="C180" s="1">
        <v>162</v>
      </c>
      <c r="D180" s="1">
        <v>74</v>
      </c>
      <c r="E180" s="1">
        <v>3</v>
      </c>
      <c r="F180" s="1">
        <f>+Tabla13[[#This Row],[beer_servings]]+5*Tabla13[[#This Row],[spirit_servings]]+Tabla13[[#This Row],[wine_servings]]</f>
        <v>535</v>
      </c>
    </row>
    <row r="181" spans="1:6" x14ac:dyDescent="0.45">
      <c r="A181" t="s">
        <v>179</v>
      </c>
      <c r="B181" t="s">
        <v>191</v>
      </c>
      <c r="C181" s="1">
        <v>167</v>
      </c>
      <c r="D181" s="1">
        <v>41</v>
      </c>
      <c r="E181" s="1">
        <v>8</v>
      </c>
      <c r="F181" s="1">
        <f>+Tabla13[[#This Row],[beer_servings]]+5*Tabla13[[#This Row],[spirit_servings]]+Tabla13[[#This Row],[wine_servings]]</f>
        <v>380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Velasco</dc:creator>
  <cp:lastModifiedBy>Guada Azze, Abel</cp:lastModifiedBy>
  <dcterms:created xsi:type="dcterms:W3CDTF">2015-06-05T18:17:20Z</dcterms:created>
  <dcterms:modified xsi:type="dcterms:W3CDTF">2024-10-10T14:42:30Z</dcterms:modified>
</cp:coreProperties>
</file>